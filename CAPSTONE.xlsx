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311594f57d9e84b/Documents/"/>
    </mc:Choice>
  </mc:AlternateContent>
  <xr:revisionPtr revIDLastSave="0" documentId="14_{38FF6D32-DFBA-4C2E-9119-1F0FB2AF12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2" r:id="rId1"/>
    <sheet name="PROJECT TASK" sheetId="3" r:id="rId2"/>
    <sheet name="DASHBOARD" sheetId="6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3" l="1"/>
  <c r="K11" i="3"/>
  <c r="K9" i="3"/>
  <c r="U4" i="6"/>
  <c r="M29" i="6"/>
  <c r="M28" i="6"/>
  <c r="M27" i="6"/>
  <c r="B23" i="3"/>
  <c r="L34" i="6"/>
  <c r="P31" i="6" a="1"/>
  <c r="P31" i="6" s="1"/>
  <c r="P30" i="6" a="1"/>
  <c r="P30" i="6" s="1"/>
  <c r="P29" i="6" a="1"/>
  <c r="P29" i="6" s="1"/>
  <c r="P28" i="6" a="1"/>
  <c r="P28" i="6" s="1"/>
  <c r="P27" i="6" a="1"/>
  <c r="P27" i="6" s="1"/>
  <c r="O31" i="6" a="1"/>
  <c r="O31" i="6" s="1"/>
  <c r="O30" i="6" a="1"/>
  <c r="O30" i="6" s="1"/>
  <c r="O29" i="6" a="1"/>
  <c r="O29" i="6" s="1"/>
  <c r="O28" i="6" a="1"/>
  <c r="O28" i="6" s="1"/>
  <c r="O27" i="6" a="1"/>
  <c r="O27" i="6" s="1"/>
  <c r="N27" i="6" a="1"/>
  <c r="N27" i="6" s="1"/>
  <c r="N29" i="6" a="1"/>
  <c r="N29" i="6" s="1"/>
  <c r="N31" i="6" a="1"/>
  <c r="N31" i="6" s="1"/>
  <c r="N30" i="6" a="1"/>
  <c r="N30" i="6" s="1"/>
  <c r="N28" i="6" a="1"/>
  <c r="N28" i="6" s="1"/>
  <c r="Q27" i="6"/>
  <c r="Q28" i="6"/>
  <c r="Q29" i="6"/>
  <c r="Q30" i="6"/>
  <c r="Q31" i="6"/>
  <c r="K28" i="6"/>
  <c r="K29" i="6"/>
  <c r="K30" i="6"/>
  <c r="K31" i="6"/>
  <c r="K27" i="6"/>
  <c r="M30" i="6"/>
  <c r="M31" i="6"/>
  <c r="J30" i="6"/>
  <c r="J31" i="6"/>
  <c r="J29" i="6"/>
  <c r="J28" i="6"/>
  <c r="J27" i="6"/>
  <c r="H27" i="6"/>
  <c r="I31" i="6" a="1"/>
  <c r="I31" i="6" s="1"/>
  <c r="I30" i="6" a="1"/>
  <c r="I30" i="6" s="1"/>
  <c r="I29" i="6" a="1"/>
  <c r="I29" i="6" s="1"/>
  <c r="I28" i="6" a="1"/>
  <c r="I28" i="6" s="1"/>
  <c r="I27" i="6" a="1"/>
  <c r="I27" i="6" s="1"/>
  <c r="H28" i="6"/>
  <c r="H29" i="6"/>
  <c r="H30" i="6"/>
  <c r="H31" i="6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O34" i="6" l="1"/>
  <c r="Q34" i="6"/>
  <c r="K4" i="6" s="1"/>
  <c r="I34" i="6"/>
  <c r="H34" i="6"/>
  <c r="H4" i="6" s="1"/>
  <c r="J34" i="6"/>
  <c r="R4" i="6" s="1"/>
  <c r="M34" i="6"/>
  <c r="P34" i="6"/>
  <c r="N34" i="6"/>
  <c r="K34" i="6"/>
  <c r="P4" i="6" s="1"/>
  <c r="T29" i="6" l="1"/>
  <c r="T30" i="6"/>
  <c r="M4" i="6"/>
  <c r="T27" i="6"/>
  <c r="T28" i="6"/>
  <c r="T3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6" authorId="0" shapeId="0" xr:uid="{3134EC0A-B27E-49B7-9C6D-2711C79ED2BC}">
      <text>
        <r>
          <rPr>
            <sz val="10"/>
            <color rgb="FF000000"/>
            <rFont val="Arial"/>
            <family val="2"/>
            <scheme val="minor"/>
          </rPr>
          <t xml:space="preserve">Table here is editable and non editable. 
*Colored cells are non editable, it is already formulated, refrain from editing. </t>
        </r>
      </text>
    </comment>
    <comment ref="D33" authorId="0" shapeId="0" xr:uid="{3B5067F7-FF51-4253-9DEA-6A94EA0684FA}">
      <text>
        <r>
          <rPr>
            <sz val="10"/>
            <color rgb="FF000000"/>
            <rFont val="Arial"/>
            <family val="2"/>
            <scheme val="minor"/>
          </rPr>
          <t xml:space="preserve">This table here is Non editable, it is already formulated. refrain from editing.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<sst xmlns="http://schemas.openxmlformats.org/spreadsheetml/2006/main" count="5618" uniqueCount="1109">
  <si>
    <t>DASHBOARD</t>
  </si>
  <si>
    <t>DATE TODAY:</t>
  </si>
  <si>
    <t>REVENUE</t>
  </si>
  <si>
    <t xml:space="preserve">OVERALL </t>
  </si>
  <si>
    <t>C3497</t>
  </si>
  <si>
    <t>Other</t>
  </si>
  <si>
    <t>Senior</t>
  </si>
  <si>
    <t>Lahore</t>
  </si>
  <si>
    <t>O7497</t>
  </si>
  <si>
    <t>McDonald's</t>
  </si>
  <si>
    <t>Sandwich</t>
  </si>
  <si>
    <t>Chinese</t>
  </si>
  <si>
    <t>Wallet</t>
  </si>
  <si>
    <t>Inactive</t>
  </si>
  <si>
    <t>Delivered</t>
  </si>
  <si>
    <t>C4774</t>
  </si>
  <si>
    <t>Adult</t>
  </si>
  <si>
    <t>Islamabad</t>
  </si>
  <si>
    <t>O8774</t>
  </si>
  <si>
    <t>Burger King</t>
  </si>
  <si>
    <t>Fries</t>
  </si>
  <si>
    <t>Italian</t>
  </si>
  <si>
    <t>Cash</t>
  </si>
  <si>
    <t>Active</t>
  </si>
  <si>
    <t>Cancelled</t>
  </si>
  <si>
    <t>C1965</t>
  </si>
  <si>
    <t>Female</t>
  </si>
  <si>
    <t>Teenager</t>
  </si>
  <si>
    <t>O5965</t>
  </si>
  <si>
    <t>Pizza Hut</t>
  </si>
  <si>
    <t>C4045</t>
  </si>
  <si>
    <t>Multan</t>
  </si>
  <si>
    <t>O8045</t>
  </si>
  <si>
    <t>Fast Food</t>
  </si>
  <si>
    <t>Delayed</t>
  </si>
  <si>
    <t>C6269</t>
  </si>
  <si>
    <t>O10269</t>
  </si>
  <si>
    <t>Pasta</t>
  </si>
  <si>
    <t>Card</t>
  </si>
  <si>
    <t>C1210</t>
  </si>
  <si>
    <t>O5210</t>
  </si>
  <si>
    <t>Dessert</t>
  </si>
  <si>
    <t>C4850</t>
  </si>
  <si>
    <t>O8850</t>
  </si>
  <si>
    <t>Subway</t>
  </si>
  <si>
    <t>C2443</t>
  </si>
  <si>
    <t>Male</t>
  </si>
  <si>
    <t>O6443</t>
  </si>
  <si>
    <t>Continental</t>
  </si>
  <si>
    <t>C4874</t>
  </si>
  <si>
    <t>O8874</t>
  </si>
  <si>
    <t>Burger</t>
  </si>
  <si>
    <t>C2206</t>
  </si>
  <si>
    <t>Peshawar</t>
  </si>
  <si>
    <t>O6206</t>
  </si>
  <si>
    <t>Pizza</t>
  </si>
  <si>
    <t>C5783</t>
  </si>
  <si>
    <t>O9783</t>
  </si>
  <si>
    <t>C4712</t>
  </si>
  <si>
    <t>O8712</t>
  </si>
  <si>
    <t>C3132</t>
  </si>
  <si>
    <t>O7132</t>
  </si>
  <si>
    <t>KFC</t>
  </si>
  <si>
    <t>C3540</t>
  </si>
  <si>
    <t>O7540</t>
  </si>
  <si>
    <t>C4265</t>
  </si>
  <si>
    <t>O8265</t>
  </si>
  <si>
    <t>C6582</t>
  </si>
  <si>
    <t>O10582</t>
  </si>
  <si>
    <t>C3195</t>
  </si>
  <si>
    <t>Karachi</t>
  </si>
  <si>
    <t>O7195</t>
  </si>
  <si>
    <t>C3466</t>
  </si>
  <si>
    <t>O7466</t>
  </si>
  <si>
    <t>C2671</t>
  </si>
  <si>
    <t>O6671</t>
  </si>
  <si>
    <t>C4172</t>
  </si>
  <si>
    <t>O8172</t>
  </si>
  <si>
    <t>C1254</t>
  </si>
  <si>
    <t>O5254</t>
  </si>
  <si>
    <t>C5660</t>
  </si>
  <si>
    <t>O9660</t>
  </si>
  <si>
    <t>C1071</t>
  </si>
  <si>
    <t>O5071</t>
  </si>
  <si>
    <t>C2643</t>
  </si>
  <si>
    <t>O6643</t>
  </si>
  <si>
    <t>C5290</t>
  </si>
  <si>
    <t>O9290</t>
  </si>
  <si>
    <t>C2622</t>
  </si>
  <si>
    <t>O6622</t>
  </si>
  <si>
    <t>C2365</t>
  </si>
  <si>
    <t>O6365</t>
  </si>
  <si>
    <t>C3943</t>
  </si>
  <si>
    <t>O7943</t>
  </si>
  <si>
    <t>C6955</t>
  </si>
  <si>
    <t>O10955</t>
  </si>
  <si>
    <t>C1850</t>
  </si>
  <si>
    <t>O5850</t>
  </si>
  <si>
    <t>C5984</t>
  </si>
  <si>
    <t>O9984</t>
  </si>
  <si>
    <t>C6458</t>
  </si>
  <si>
    <t>O10458</t>
  </si>
  <si>
    <t>C2096</t>
  </si>
  <si>
    <t>O6096</t>
  </si>
  <si>
    <t>C3169</t>
  </si>
  <si>
    <t>O7169</t>
  </si>
  <si>
    <t>C5924</t>
  </si>
  <si>
    <t>O9924</t>
  </si>
  <si>
    <t>C5556</t>
  </si>
  <si>
    <t>O9556</t>
  </si>
  <si>
    <t>C3430</t>
  </si>
  <si>
    <t>O7430</t>
  </si>
  <si>
    <t>C3013</t>
  </si>
  <si>
    <t>O7013</t>
  </si>
  <si>
    <t>C1478</t>
  </si>
  <si>
    <t>O5478</t>
  </si>
  <si>
    <t>C3423</t>
  </si>
  <si>
    <t>O7423</t>
  </si>
  <si>
    <t>C4641</t>
  </si>
  <si>
    <t>O8641</t>
  </si>
  <si>
    <t>C2409</t>
  </si>
  <si>
    <t>O6409</t>
  </si>
  <si>
    <t>C2863</t>
  </si>
  <si>
    <t>O6863</t>
  </si>
  <si>
    <t>C5063</t>
  </si>
  <si>
    <t>O9063</t>
  </si>
  <si>
    <t>C4885</t>
  </si>
  <si>
    <t>O8885</t>
  </si>
  <si>
    <t>C1904</t>
  </si>
  <si>
    <t>O5904</t>
  </si>
  <si>
    <t>C3307</t>
  </si>
  <si>
    <t>O7307</t>
  </si>
  <si>
    <t>C1585</t>
  </si>
  <si>
    <t>O5585</t>
  </si>
  <si>
    <t>C3661</t>
  </si>
  <si>
    <t>O7661</t>
  </si>
  <si>
    <t>C2438</t>
  </si>
  <si>
    <t>O6438</t>
  </si>
  <si>
    <t>C6936</t>
  </si>
  <si>
    <t>O10936</t>
  </si>
  <si>
    <t>C5267</t>
  </si>
  <si>
    <t>O9267</t>
  </si>
  <si>
    <t>C6514</t>
  </si>
  <si>
    <t>O10514</t>
  </si>
  <si>
    <t>C5394</t>
  </si>
  <si>
    <t>O9394</t>
  </si>
  <si>
    <t>C4973</t>
  </si>
  <si>
    <t>O8973</t>
  </si>
  <si>
    <t>C2899</t>
  </si>
  <si>
    <t>O6899</t>
  </si>
  <si>
    <t>C2302</t>
  </si>
  <si>
    <t>O6302</t>
  </si>
  <si>
    <t>C3322</t>
  </si>
  <si>
    <t>O7322</t>
  </si>
  <si>
    <t>C1479</t>
  </si>
  <si>
    <t>O5479</t>
  </si>
  <si>
    <t>C4239</t>
  </si>
  <si>
    <t>O8239</t>
  </si>
  <si>
    <t>C3707</t>
  </si>
  <si>
    <t>O7707</t>
  </si>
  <si>
    <t>C4101</t>
  </si>
  <si>
    <t>O8101</t>
  </si>
  <si>
    <t>C3142</t>
  </si>
  <si>
    <t>O7142</t>
  </si>
  <si>
    <t>C4371</t>
  </si>
  <si>
    <t>O8371</t>
  </si>
  <si>
    <t>C1980</t>
  </si>
  <si>
    <t>O5980</t>
  </si>
  <si>
    <t>C4359</t>
  </si>
  <si>
    <t>O8359</t>
  </si>
  <si>
    <t>C2063</t>
  </si>
  <si>
    <t>O6063</t>
  </si>
  <si>
    <t>C2128</t>
  </si>
  <si>
    <t>O6128</t>
  </si>
  <si>
    <t>C4818</t>
  </si>
  <si>
    <t>O8818</t>
  </si>
  <si>
    <t>C1758</t>
  </si>
  <si>
    <t>O5758</t>
  </si>
  <si>
    <t>C1750</t>
  </si>
  <si>
    <t>O5750</t>
  </si>
  <si>
    <t>C2137</t>
  </si>
  <si>
    <t>O6137</t>
  </si>
  <si>
    <t>C6342</t>
  </si>
  <si>
    <t>O10342</t>
  </si>
  <si>
    <t>C6492</t>
  </si>
  <si>
    <t>O10492</t>
  </si>
  <si>
    <t>C6439</t>
  </si>
  <si>
    <t>O10439</t>
  </si>
  <si>
    <t>C5914</t>
  </si>
  <si>
    <t>O9914</t>
  </si>
  <si>
    <t>C1168</t>
  </si>
  <si>
    <t>O5168</t>
  </si>
  <si>
    <t>C2722</t>
  </si>
  <si>
    <t>O6722</t>
  </si>
  <si>
    <t>C5597</t>
  </si>
  <si>
    <t>O9597</t>
  </si>
  <si>
    <t>C5606</t>
  </si>
  <si>
    <t>O9606</t>
  </si>
  <si>
    <t>C6136</t>
  </si>
  <si>
    <t>O10136</t>
  </si>
  <si>
    <t>C1186</t>
  </si>
  <si>
    <t>O5186</t>
  </si>
  <si>
    <t>C5274</t>
  </si>
  <si>
    <t>O9274</t>
  </si>
  <si>
    <t>C1060</t>
  </si>
  <si>
    <t>O5060</t>
  </si>
  <si>
    <t>C6584</t>
  </si>
  <si>
    <t>O10584</t>
  </si>
  <si>
    <t>C2586</t>
  </si>
  <si>
    <t>O6586</t>
  </si>
  <si>
    <t>C4971</t>
  </si>
  <si>
    <t>O8971</t>
  </si>
  <si>
    <t>C4437</t>
  </si>
  <si>
    <t>O8437</t>
  </si>
  <si>
    <t>C6869</t>
  </si>
  <si>
    <t>O10869</t>
  </si>
  <si>
    <t>C1869</t>
  </si>
  <si>
    <t>O5869</t>
  </si>
  <si>
    <t>C5521</t>
  </si>
  <si>
    <t>O9521</t>
  </si>
  <si>
    <t>C2229</t>
  </si>
  <si>
    <t>O6229</t>
  </si>
  <si>
    <t>C6830</t>
  </si>
  <si>
    <t>O10830</t>
  </si>
  <si>
    <t>C4917</t>
  </si>
  <si>
    <t>O8917</t>
  </si>
  <si>
    <t>C1334</t>
  </si>
  <si>
    <t>O5334</t>
  </si>
  <si>
    <t>C1555</t>
  </si>
  <si>
    <t>O5555</t>
  </si>
  <si>
    <t>C2345</t>
  </si>
  <si>
    <t>O6345</t>
  </si>
  <si>
    <t>C5664</t>
  </si>
  <si>
    <t>O9664</t>
  </si>
  <si>
    <t>C2819</t>
  </si>
  <si>
    <t>O6819</t>
  </si>
  <si>
    <t>C3455</t>
  </si>
  <si>
    <t>O7455</t>
  </si>
  <si>
    <t>C5827</t>
  </si>
  <si>
    <t>O9827</t>
  </si>
  <si>
    <t>C6528</t>
  </si>
  <si>
    <t>O10528</t>
  </si>
  <si>
    <t>C1129</t>
  </si>
  <si>
    <t>O5129</t>
  </si>
  <si>
    <t>C4734</t>
  </si>
  <si>
    <t>O8734</t>
  </si>
  <si>
    <t>C4508</t>
  </si>
  <si>
    <t>O8508</t>
  </si>
  <si>
    <t>C3463</t>
  </si>
  <si>
    <t>O7463</t>
  </si>
  <si>
    <t>C3671</t>
  </si>
  <si>
    <t>O7671</t>
  </si>
  <si>
    <t>C3273</t>
  </si>
  <si>
    <t>O7273</t>
  </si>
  <si>
    <t>C4205</t>
  </si>
  <si>
    <t>O8205</t>
  </si>
  <si>
    <t>C2174</t>
  </si>
  <si>
    <t>O6174</t>
  </si>
  <si>
    <t>C2699</t>
  </si>
  <si>
    <t>O6699</t>
  </si>
  <si>
    <t>C4521</t>
  </si>
  <si>
    <t>O8521</t>
  </si>
  <si>
    <t>C3467</t>
  </si>
  <si>
    <t>O7467</t>
  </si>
  <si>
    <t>C4510</t>
  </si>
  <si>
    <t>O8510</t>
  </si>
  <si>
    <t>C6154</t>
  </si>
  <si>
    <t>O10154</t>
  </si>
  <si>
    <t>C2782</t>
  </si>
  <si>
    <t>O6782</t>
  </si>
  <si>
    <t>C6215</t>
  </si>
  <si>
    <t>O10215</t>
  </si>
  <si>
    <t>C5032</t>
  </si>
  <si>
    <t>O9032</t>
  </si>
  <si>
    <t>C5389</t>
  </si>
  <si>
    <t>O9389</t>
  </si>
  <si>
    <t>C5749</t>
  </si>
  <si>
    <t>O9749</t>
  </si>
  <si>
    <t>C6873</t>
  </si>
  <si>
    <t>O10873</t>
  </si>
  <si>
    <t>C2949</t>
  </si>
  <si>
    <t>O6949</t>
  </si>
  <si>
    <t>C3889</t>
  </si>
  <si>
    <t>O7889</t>
  </si>
  <si>
    <t>C4123</t>
  </si>
  <si>
    <t>O8123</t>
  </si>
  <si>
    <t>C6939</t>
  </si>
  <si>
    <t>O10939</t>
  </si>
  <si>
    <t>C3769</t>
  </si>
  <si>
    <t>O7769</t>
  </si>
  <si>
    <t>C1037</t>
  </si>
  <si>
    <t>O5037</t>
  </si>
  <si>
    <t>C5187</t>
  </si>
  <si>
    <t>O9187</t>
  </si>
  <si>
    <t>C1771</t>
  </si>
  <si>
    <t>O5771</t>
  </si>
  <si>
    <t>C3542</t>
  </si>
  <si>
    <t>O7542</t>
  </si>
  <si>
    <t>C6538</t>
  </si>
  <si>
    <t>O10538</t>
  </si>
  <si>
    <t>C4926</t>
  </si>
  <si>
    <t>O8926</t>
  </si>
  <si>
    <t>C4856</t>
  </si>
  <si>
    <t>O8856</t>
  </si>
  <si>
    <t>C3515</t>
  </si>
  <si>
    <t>O7515</t>
  </si>
  <si>
    <t>C2087</t>
  </si>
  <si>
    <t>O6087</t>
  </si>
  <si>
    <t>C2084</t>
  </si>
  <si>
    <t>O6084</t>
  </si>
  <si>
    <t>C5820</t>
  </si>
  <si>
    <t>O9820</t>
  </si>
  <si>
    <t>C3496</t>
  </si>
  <si>
    <t>O7496</t>
  </si>
  <si>
    <t>C1909</t>
  </si>
  <si>
    <t>O5909</t>
  </si>
  <si>
    <t>C3046</t>
  </si>
  <si>
    <t>O7046</t>
  </si>
  <si>
    <t>C1843</t>
  </si>
  <si>
    <t>O5843</t>
  </si>
  <si>
    <t>C6682</t>
  </si>
  <si>
    <t>O10682</t>
  </si>
  <si>
    <t>C5644</t>
  </si>
  <si>
    <t>O9644</t>
  </si>
  <si>
    <t>C4242</t>
  </si>
  <si>
    <t>O8242</t>
  </si>
  <si>
    <t>C3868</t>
  </si>
  <si>
    <t>O7868</t>
  </si>
  <si>
    <t>C4434</t>
  </si>
  <si>
    <t>O8434</t>
  </si>
  <si>
    <t>C5125</t>
  </si>
  <si>
    <t>O9125</t>
  </si>
  <si>
    <t>C1573</t>
  </si>
  <si>
    <t>O5573</t>
  </si>
  <si>
    <t>C2168</t>
  </si>
  <si>
    <t>O6168</t>
  </si>
  <si>
    <t>C3451</t>
  </si>
  <si>
    <t>O7451</t>
  </si>
  <si>
    <t>C5409</t>
  </si>
  <si>
    <t>O9409</t>
  </si>
  <si>
    <t>C1106</t>
  </si>
  <si>
    <t>O5106</t>
  </si>
  <si>
    <t>C2451</t>
  </si>
  <si>
    <t>O6451</t>
  </si>
  <si>
    <t>C6283</t>
  </si>
  <si>
    <t>O10283</t>
  </si>
  <si>
    <t>C2493</t>
  </si>
  <si>
    <t>O6493</t>
  </si>
  <si>
    <t>C3061</t>
  </si>
  <si>
    <t>O7061</t>
  </si>
  <si>
    <t>C3850</t>
  </si>
  <si>
    <t>O7850</t>
  </si>
  <si>
    <t>C1831</t>
  </si>
  <si>
    <t>O5831</t>
  </si>
  <si>
    <t>C3541</t>
  </si>
  <si>
    <t>O7541</t>
  </si>
  <si>
    <t>C4697</t>
  </si>
  <si>
    <t>O8697</t>
  </si>
  <si>
    <t>C3581</t>
  </si>
  <si>
    <t>O7581</t>
  </si>
  <si>
    <t>C6108</t>
  </si>
  <si>
    <t>O10108</t>
  </si>
  <si>
    <t>C2777</t>
  </si>
  <si>
    <t>O6777</t>
  </si>
  <si>
    <t>C4141</t>
  </si>
  <si>
    <t>O8141</t>
  </si>
  <si>
    <t>C4492</t>
  </si>
  <si>
    <t>O8492</t>
  </si>
  <si>
    <t>C4069</t>
  </si>
  <si>
    <t>O8069</t>
  </si>
  <si>
    <t>C1943</t>
  </si>
  <si>
    <t>O5943</t>
  </si>
  <si>
    <t>C5768</t>
  </si>
  <si>
    <t>O9768</t>
  </si>
  <si>
    <t>C3413</t>
  </si>
  <si>
    <t>O7413</t>
  </si>
  <si>
    <t>C4159</t>
  </si>
  <si>
    <t>O8159</t>
  </si>
  <si>
    <t>C4385</t>
  </si>
  <si>
    <t>O8385</t>
  </si>
  <si>
    <t>C4448</t>
  </si>
  <si>
    <t>O8448</t>
  </si>
  <si>
    <t>C5807</t>
  </si>
  <si>
    <t>O9807</t>
  </si>
  <si>
    <t>C3560</t>
  </si>
  <si>
    <t>O7560</t>
  </si>
  <si>
    <t>C1004</t>
  </si>
  <si>
    <t>O5004</t>
  </si>
  <si>
    <t>C2296</t>
  </si>
  <si>
    <t>O6296</t>
  </si>
  <si>
    <t>C2835</t>
  </si>
  <si>
    <t>O6835</t>
  </si>
  <si>
    <t>C4202</t>
  </si>
  <si>
    <t>O8202</t>
  </si>
  <si>
    <t>C3791</t>
  </si>
  <si>
    <t>O7791</t>
  </si>
  <si>
    <t>C6984</t>
  </si>
  <si>
    <t>O10984</t>
  </si>
  <si>
    <t>C2230</t>
  </si>
  <si>
    <t>O6230</t>
  </si>
  <si>
    <t>C6995</t>
  </si>
  <si>
    <t>O10995</t>
  </si>
  <si>
    <t>C4228</t>
  </si>
  <si>
    <t>O8228</t>
  </si>
  <si>
    <t>C4062</t>
  </si>
  <si>
    <t>O8062</t>
  </si>
  <si>
    <t>C6623</t>
  </si>
  <si>
    <t>O10623</t>
  </si>
  <si>
    <t>C6667</t>
  </si>
  <si>
    <t>O10667</t>
  </si>
  <si>
    <t>C1443</t>
  </si>
  <si>
    <t>O5443</t>
  </si>
  <si>
    <t>C1401</t>
  </si>
  <si>
    <t>O5401</t>
  </si>
  <si>
    <t>C1798</t>
  </si>
  <si>
    <t>O5798</t>
  </si>
  <si>
    <t>C5978</t>
  </si>
  <si>
    <t>O9978</t>
  </si>
  <si>
    <t>C2254</t>
  </si>
  <si>
    <t>O6254</t>
  </si>
  <si>
    <t>C6545</t>
  </si>
  <si>
    <t>O10545</t>
  </si>
  <si>
    <t>C2626</t>
  </si>
  <si>
    <t>O6626</t>
  </si>
  <si>
    <t>C2857</t>
  </si>
  <si>
    <t>O6857</t>
  </si>
  <si>
    <t>C2396</t>
  </si>
  <si>
    <t>O6396</t>
  </si>
  <si>
    <t>C2404</t>
  </si>
  <si>
    <t>O6404</t>
  </si>
  <si>
    <t>C3866</t>
  </si>
  <si>
    <t>O7866</t>
  </si>
  <si>
    <t>C4327</t>
  </si>
  <si>
    <t>O8327</t>
  </si>
  <si>
    <t>C6414</t>
  </si>
  <si>
    <t>O10414</t>
  </si>
  <si>
    <t>C3081</t>
  </si>
  <si>
    <t>O7081</t>
  </si>
  <si>
    <t>C2674</t>
  </si>
  <si>
    <t>O6674</t>
  </si>
  <si>
    <t>C6934</t>
  </si>
  <si>
    <t>O10934</t>
  </si>
  <si>
    <t>C2394</t>
  </si>
  <si>
    <t>O6394</t>
  </si>
  <si>
    <t>C5545</t>
  </si>
  <si>
    <t>O9545</t>
  </si>
  <si>
    <t>C6329</t>
  </si>
  <si>
    <t>O10329</t>
  </si>
  <si>
    <t>C2157</t>
  </si>
  <si>
    <t>O6157</t>
  </si>
  <si>
    <t>C6386</t>
  </si>
  <si>
    <t>O10386</t>
  </si>
  <si>
    <t>C4232</t>
  </si>
  <si>
    <t>O8232</t>
  </si>
  <si>
    <t>C5320</t>
  </si>
  <si>
    <t>O9320</t>
  </si>
  <si>
    <t>C3178</t>
  </si>
  <si>
    <t>O7178</t>
  </si>
  <si>
    <t>C4129</t>
  </si>
  <si>
    <t>O8129</t>
  </si>
  <si>
    <t>C3982</t>
  </si>
  <si>
    <t>O7982</t>
  </si>
  <si>
    <t>C1118</t>
  </si>
  <si>
    <t>O5118</t>
  </si>
  <si>
    <t>C1475</t>
  </si>
  <si>
    <t>O5475</t>
  </si>
  <si>
    <t>C6722</t>
  </si>
  <si>
    <t>O10722</t>
  </si>
  <si>
    <t>C1447</t>
  </si>
  <si>
    <t>O5447</t>
  </si>
  <si>
    <t>C6564</t>
  </si>
  <si>
    <t>O10564</t>
  </si>
  <si>
    <t>C4250</t>
  </si>
  <si>
    <t>O8250</t>
  </si>
  <si>
    <t>C3963</t>
  </si>
  <si>
    <t>O7963</t>
  </si>
  <si>
    <t>C4041</t>
  </si>
  <si>
    <t>O8041</t>
  </si>
  <si>
    <t>C4388</t>
  </si>
  <si>
    <t>O8388</t>
  </si>
  <si>
    <t>C1345</t>
  </si>
  <si>
    <t>O5345</t>
  </si>
  <si>
    <t>C4884</t>
  </si>
  <si>
    <t>O8884</t>
  </si>
  <si>
    <t>C4252</t>
  </si>
  <si>
    <t>O8252</t>
  </si>
  <si>
    <t>C6757</t>
  </si>
  <si>
    <t>O10757</t>
  </si>
  <si>
    <t>C2358</t>
  </si>
  <si>
    <t>O6358</t>
  </si>
  <si>
    <t>C2339</t>
  </si>
  <si>
    <t>O6339</t>
  </si>
  <si>
    <t>C1501</t>
  </si>
  <si>
    <t>O5501</t>
  </si>
  <si>
    <t>C3739</t>
  </si>
  <si>
    <t>O7739</t>
  </si>
  <si>
    <t>C3527</t>
  </si>
  <si>
    <t>O7527</t>
  </si>
  <si>
    <t>C3896</t>
  </si>
  <si>
    <t>O7896</t>
  </si>
  <si>
    <t>C4534</t>
  </si>
  <si>
    <t>O8534</t>
  </si>
  <si>
    <t>C5335</t>
  </si>
  <si>
    <t>O9335</t>
  </si>
  <si>
    <t>C5169</t>
  </si>
  <si>
    <t>O9169</t>
  </si>
  <si>
    <t>C3095</t>
  </si>
  <si>
    <t>O7095</t>
  </si>
  <si>
    <t>C2510</t>
  </si>
  <si>
    <t>O6510</t>
  </si>
  <si>
    <t>C3792</t>
  </si>
  <si>
    <t>O7792</t>
  </si>
  <si>
    <t>C1733</t>
  </si>
  <si>
    <t>O5733</t>
  </si>
  <si>
    <t>C6169</t>
  </si>
  <si>
    <t>O10169</t>
  </si>
  <si>
    <t>C1342</t>
  </si>
  <si>
    <t>O5342</t>
  </si>
  <si>
    <t>C3126</t>
  </si>
  <si>
    <t>O7126</t>
  </si>
  <si>
    <t>C5613</t>
  </si>
  <si>
    <t>O9613</t>
  </si>
  <si>
    <t>C5518</t>
  </si>
  <si>
    <t>O9518</t>
  </si>
  <si>
    <t>C4678</t>
  </si>
  <si>
    <t>O8678</t>
  </si>
  <si>
    <t>C4809</t>
  </si>
  <si>
    <t>O8809</t>
  </si>
  <si>
    <t>C5778</t>
  </si>
  <si>
    <t>O9778</t>
  </si>
  <si>
    <t>C2931</t>
  </si>
  <si>
    <t>O6931</t>
  </si>
  <si>
    <t>C6777</t>
  </si>
  <si>
    <t>O10777</t>
  </si>
  <si>
    <t>C4261</t>
  </si>
  <si>
    <t>O8261</t>
  </si>
  <si>
    <t>C5879</t>
  </si>
  <si>
    <t>O9879</t>
  </si>
  <si>
    <t>C2046</t>
  </si>
  <si>
    <t>O6046</t>
  </si>
  <si>
    <t>C6678</t>
  </si>
  <si>
    <t>O10678</t>
  </si>
  <si>
    <t>C4215</t>
  </si>
  <si>
    <t>O8215</t>
  </si>
  <si>
    <t>C3285</t>
  </si>
  <si>
    <t>O7285</t>
  </si>
  <si>
    <t>C4005</t>
  </si>
  <si>
    <t>O8005</t>
  </si>
  <si>
    <t>C6593</t>
  </si>
  <si>
    <t>O10593</t>
  </si>
  <si>
    <t>C5557</t>
  </si>
  <si>
    <t>O9557</t>
  </si>
  <si>
    <t>C3389</t>
  </si>
  <si>
    <t>O7389</t>
  </si>
  <si>
    <t>C5605</t>
  </si>
  <si>
    <t>O9605</t>
  </si>
  <si>
    <t>C2613</t>
  </si>
  <si>
    <t>O6613</t>
  </si>
  <si>
    <t>C6478</t>
  </si>
  <si>
    <t>O10478</t>
  </si>
  <si>
    <t>C1245</t>
  </si>
  <si>
    <t>O5245</t>
  </si>
  <si>
    <t>C4020</t>
  </si>
  <si>
    <t>O8020</t>
  </si>
  <si>
    <t>C1676</t>
  </si>
  <si>
    <t>O5676</t>
  </si>
  <si>
    <t>C6392</t>
  </si>
  <si>
    <t>O10392</t>
  </si>
  <si>
    <t>C4213</t>
  </si>
  <si>
    <t>O8213</t>
  </si>
  <si>
    <t>C3929</t>
  </si>
  <si>
    <t>O7929</t>
  </si>
  <si>
    <t>C6489</t>
  </si>
  <si>
    <t>O10489</t>
  </si>
  <si>
    <t>C3374</t>
  </si>
  <si>
    <t>O7374</t>
  </si>
  <si>
    <t>C3350</t>
  </si>
  <si>
    <t>O7350</t>
  </si>
  <si>
    <t>C3906</t>
  </si>
  <si>
    <t>O7906</t>
  </si>
  <si>
    <t>C5318</t>
  </si>
  <si>
    <t>O9318</t>
  </si>
  <si>
    <t>C1604</t>
  </si>
  <si>
    <t>O5604</t>
  </si>
  <si>
    <t>C6411</t>
  </si>
  <si>
    <t>O10411</t>
  </si>
  <si>
    <t>C4642</t>
  </si>
  <si>
    <t>O8642</t>
  </si>
  <si>
    <t>C2630</t>
  </si>
  <si>
    <t>O6630</t>
  </si>
  <si>
    <t>C1149</t>
  </si>
  <si>
    <t>O5149</t>
  </si>
  <si>
    <t>C5723</t>
  </si>
  <si>
    <t>O9723</t>
  </si>
  <si>
    <t>C2500</t>
  </si>
  <si>
    <t>O6500</t>
  </si>
  <si>
    <t>C1769</t>
  </si>
  <si>
    <t>O5769</t>
  </si>
  <si>
    <t>C4375</t>
  </si>
  <si>
    <t>O8375</t>
  </si>
  <si>
    <t>C6911</t>
  </si>
  <si>
    <t>O10911</t>
  </si>
  <si>
    <t>C5679</t>
  </si>
  <si>
    <t>O9679</t>
  </si>
  <si>
    <t>C4226</t>
  </si>
  <si>
    <t>O8226</t>
  </si>
  <si>
    <t>C4458</t>
  </si>
  <si>
    <t>O8458</t>
  </si>
  <si>
    <t>C6470</t>
  </si>
  <si>
    <t>O10470</t>
  </si>
  <si>
    <t>C1967</t>
  </si>
  <si>
    <t>O5967</t>
  </si>
  <si>
    <t>C3111</t>
  </si>
  <si>
    <t>O7111</t>
  </si>
  <si>
    <t>C5126</t>
  </si>
  <si>
    <t>O9126</t>
  </si>
  <si>
    <t>C1696</t>
  </si>
  <si>
    <t>O5696</t>
  </si>
  <si>
    <t>C2282</t>
  </si>
  <si>
    <t>O6282</t>
  </si>
  <si>
    <t>C6764</t>
  </si>
  <si>
    <t>O10764</t>
  </si>
  <si>
    <t>C6081</t>
  </si>
  <si>
    <t>O10081</t>
  </si>
  <si>
    <t>C4934</t>
  </si>
  <si>
    <t>O8934</t>
  </si>
  <si>
    <t>C3050</t>
  </si>
  <si>
    <t>O7050</t>
  </si>
  <si>
    <t>C3728</t>
  </si>
  <si>
    <t>O7728</t>
  </si>
  <si>
    <t>C5293</t>
  </si>
  <si>
    <t>O9293</t>
  </si>
  <si>
    <t>C5137</t>
  </si>
  <si>
    <t>O9137</t>
  </si>
  <si>
    <t>C1602</t>
  </si>
  <si>
    <t>O5602</t>
  </si>
  <si>
    <t>C2911</t>
  </si>
  <si>
    <t>O6911</t>
  </si>
  <si>
    <t>C3029</t>
  </si>
  <si>
    <t>O7029</t>
  </si>
  <si>
    <t>C5514</t>
  </si>
  <si>
    <t>O9514</t>
  </si>
  <si>
    <t>C1084</t>
  </si>
  <si>
    <t>O5084</t>
  </si>
  <si>
    <t>C3453</t>
  </si>
  <si>
    <t>O7453</t>
  </si>
  <si>
    <t>C1182</t>
  </si>
  <si>
    <t>O5182</t>
  </si>
  <si>
    <t>C6324</t>
  </si>
  <si>
    <t>O10324</t>
  </si>
  <si>
    <t>C3926</t>
  </si>
  <si>
    <t>O7926</t>
  </si>
  <si>
    <t>C6014</t>
  </si>
  <si>
    <t>O10014</t>
  </si>
  <si>
    <t>C5127</t>
  </si>
  <si>
    <t>O9127</t>
  </si>
  <si>
    <t>C1429</t>
  </si>
  <si>
    <t>O5429</t>
  </si>
  <si>
    <t>C4715</t>
  </si>
  <si>
    <t>O8715</t>
  </si>
  <si>
    <t>C2195</t>
  </si>
  <si>
    <t>O6195</t>
  </si>
  <si>
    <t>C2429</t>
  </si>
  <si>
    <t>O6429</t>
  </si>
  <si>
    <t>C5816</t>
  </si>
  <si>
    <t>O9816</t>
  </si>
  <si>
    <t>C2987</t>
  </si>
  <si>
    <t>O6987</t>
  </si>
  <si>
    <t>C3580</t>
  </si>
  <si>
    <t>O7580</t>
  </si>
  <si>
    <t>C4479</t>
  </si>
  <si>
    <t>O8479</t>
  </si>
  <si>
    <t>C2200</t>
  </si>
  <si>
    <t>O6200</t>
  </si>
  <si>
    <t>C6138</t>
  </si>
  <si>
    <t>O10138</t>
  </si>
  <si>
    <t>C1748</t>
  </si>
  <si>
    <t>O5748</t>
  </si>
  <si>
    <t>C6399</t>
  </si>
  <si>
    <t>O10399</t>
  </si>
  <si>
    <t>C1074</t>
  </si>
  <si>
    <t>O5074</t>
  </si>
  <si>
    <t>C1373</t>
  </si>
  <si>
    <t>O5373</t>
  </si>
  <si>
    <t>C2628</t>
  </si>
  <si>
    <t>O6628</t>
  </si>
  <si>
    <t>C3599</t>
  </si>
  <si>
    <t>O7599</t>
  </si>
  <si>
    <t>C4040</t>
  </si>
  <si>
    <t>O8040</t>
  </si>
  <si>
    <t>C5234</t>
  </si>
  <si>
    <t>O9234</t>
  </si>
  <si>
    <t>C4026</t>
  </si>
  <si>
    <t>O8026</t>
  </si>
  <si>
    <t>C6943</t>
  </si>
  <si>
    <t>O10943</t>
  </si>
  <si>
    <t>C1706</t>
  </si>
  <si>
    <t>O5706</t>
  </si>
  <si>
    <t>C6591</t>
  </si>
  <si>
    <t>O10591</t>
  </si>
  <si>
    <t>C1433</t>
  </si>
  <si>
    <t>O5433</t>
  </si>
  <si>
    <t>C3793</t>
  </si>
  <si>
    <t>O7793</t>
  </si>
  <si>
    <t>C3359</t>
  </si>
  <si>
    <t>O7359</t>
  </si>
  <si>
    <t>C2325</t>
  </si>
  <si>
    <t>O6325</t>
  </si>
  <si>
    <t>C3206</t>
  </si>
  <si>
    <t>O7206</t>
  </si>
  <si>
    <t>C3181</t>
  </si>
  <si>
    <t>O7181</t>
  </si>
  <si>
    <t>C3977</t>
  </si>
  <si>
    <t>O7977</t>
  </si>
  <si>
    <t>C3148</t>
  </si>
  <si>
    <t>O7148</t>
  </si>
  <si>
    <t>C1313</t>
  </si>
  <si>
    <t>O5313</t>
  </si>
  <si>
    <t>C5366</t>
  </si>
  <si>
    <t>O9366</t>
  </si>
  <si>
    <t>C6202</t>
  </si>
  <si>
    <t>O10202</t>
  </si>
  <si>
    <t>C2821</t>
  </si>
  <si>
    <t>O6821</t>
  </si>
  <si>
    <t>C5434</t>
  </si>
  <si>
    <t>O9434</t>
  </si>
  <si>
    <t>C2014</t>
  </si>
  <si>
    <t>O6014</t>
  </si>
  <si>
    <t>C3621</t>
  </si>
  <si>
    <t>O7621</t>
  </si>
  <si>
    <t>C5281</t>
  </si>
  <si>
    <t>O9281</t>
  </si>
  <si>
    <t>C3933</t>
  </si>
  <si>
    <t>O7933</t>
  </si>
  <si>
    <t>C3028</t>
  </si>
  <si>
    <t>O7028</t>
  </si>
  <si>
    <t>C2273</t>
  </si>
  <si>
    <t>O6273</t>
  </si>
  <si>
    <t>C6106</t>
  </si>
  <si>
    <t>O10106</t>
  </si>
  <si>
    <t>C1137</t>
  </si>
  <si>
    <t>O5137</t>
  </si>
  <si>
    <t>C6754</t>
  </si>
  <si>
    <t>O10754</t>
  </si>
  <si>
    <t>C2922</t>
  </si>
  <si>
    <t>O6922</t>
  </si>
  <si>
    <t>C1936</t>
  </si>
  <si>
    <t>O5936</t>
  </si>
  <si>
    <t>C3221</t>
  </si>
  <si>
    <t>O7221</t>
  </si>
  <si>
    <t>C2854</t>
  </si>
  <si>
    <t>O6854</t>
  </si>
  <si>
    <t>C1022</t>
  </si>
  <si>
    <t>O5022</t>
  </si>
  <si>
    <t>C5204</t>
  </si>
  <si>
    <t>O9204</t>
  </si>
  <si>
    <t>C5330</t>
  </si>
  <si>
    <t>O9330</t>
  </si>
  <si>
    <t>C5987</t>
  </si>
  <si>
    <t>O9987</t>
  </si>
  <si>
    <t>C2604</t>
  </si>
  <si>
    <t>O6604</t>
  </si>
  <si>
    <t>C5531</t>
  </si>
  <si>
    <t>O9531</t>
  </si>
  <si>
    <t>C6684</t>
  </si>
  <si>
    <t>O10684</t>
  </si>
  <si>
    <t>C5256</t>
  </si>
  <si>
    <t>O9256</t>
  </si>
  <si>
    <t>C6285</t>
  </si>
  <si>
    <t>O10285</t>
  </si>
  <si>
    <t>C5157</t>
  </si>
  <si>
    <t>O9157</t>
  </si>
  <si>
    <t>C6338</t>
  </si>
  <si>
    <t>O10338</t>
  </si>
  <si>
    <t>C6975</t>
  </si>
  <si>
    <t>O10975</t>
  </si>
  <si>
    <t>C3697</t>
  </si>
  <si>
    <t>O7697</t>
  </si>
  <si>
    <t>C6325</t>
  </si>
  <si>
    <t>O10325</t>
  </si>
  <si>
    <t>C3838</t>
  </si>
  <si>
    <t>O7838</t>
  </si>
  <si>
    <t>C5727</t>
  </si>
  <si>
    <t>O9727</t>
  </si>
  <si>
    <t>C6395</t>
  </si>
  <si>
    <t>O10395</t>
  </si>
  <si>
    <t>C1595</t>
  </si>
  <si>
    <t>O5595</t>
  </si>
  <si>
    <t>C4804</t>
  </si>
  <si>
    <t>O8804</t>
  </si>
  <si>
    <t>C4717</t>
  </si>
  <si>
    <t>O8717</t>
  </si>
  <si>
    <t>C1898</t>
  </si>
  <si>
    <t>O5898</t>
  </si>
  <si>
    <t>C1811</t>
  </si>
  <si>
    <t>O5811</t>
  </si>
  <si>
    <t>C1715</t>
  </si>
  <si>
    <t>O5715</t>
  </si>
  <si>
    <t>C2417</t>
  </si>
  <si>
    <t>O6417</t>
  </si>
  <si>
    <t>C4314</t>
  </si>
  <si>
    <t>O8314</t>
  </si>
  <si>
    <t>C4600</t>
  </si>
  <si>
    <t>O8600</t>
  </si>
  <si>
    <t>C4648</t>
  </si>
  <si>
    <t>O8648</t>
  </si>
  <si>
    <t>C1090</t>
  </si>
  <si>
    <t>O5090</t>
  </si>
  <si>
    <t>C4741</t>
  </si>
  <si>
    <t>O8741</t>
  </si>
  <si>
    <t>C5787</t>
  </si>
  <si>
    <t>O9787</t>
  </si>
  <si>
    <t>C4948</t>
  </si>
  <si>
    <t>O8948</t>
  </si>
  <si>
    <t>C1183</t>
  </si>
  <si>
    <t>O5183</t>
  </si>
  <si>
    <t>C6972</t>
  </si>
  <si>
    <t>O10972</t>
  </si>
  <si>
    <t>C2654</t>
  </si>
  <si>
    <t>O6654</t>
  </si>
  <si>
    <t>C5264</t>
  </si>
  <si>
    <t>O9264</t>
  </si>
  <si>
    <t>C2024</t>
  </si>
  <si>
    <t>O6024</t>
  </si>
  <si>
    <t>C6718</t>
  </si>
  <si>
    <t>O10718</t>
  </si>
  <si>
    <t>C3732</t>
  </si>
  <si>
    <t>O7732</t>
  </si>
  <si>
    <t>C3576</t>
  </si>
  <si>
    <t>O7576</t>
  </si>
  <si>
    <t>C6650</t>
  </si>
  <si>
    <t>O10650</t>
  </si>
  <si>
    <t>C4832</t>
  </si>
  <si>
    <t>O8832</t>
  </si>
  <si>
    <t>C3462</t>
  </si>
  <si>
    <t>O7462</t>
  </si>
  <si>
    <t>C5730</t>
  </si>
  <si>
    <t>O9730</t>
  </si>
  <si>
    <t>C4084</t>
  </si>
  <si>
    <t>O8084</t>
  </si>
  <si>
    <t>C6792</t>
  </si>
  <si>
    <t>O10792</t>
  </si>
  <si>
    <t>C6597</t>
  </si>
  <si>
    <t>O10597</t>
  </si>
  <si>
    <t>C2725</t>
  </si>
  <si>
    <t>O6725</t>
  </si>
  <si>
    <t>C5178</t>
  </si>
  <si>
    <t>O9178</t>
  </si>
  <si>
    <t>C1669</t>
  </si>
  <si>
    <t>O5669</t>
  </si>
  <si>
    <t>C4862</t>
  </si>
  <si>
    <t>O8862</t>
  </si>
  <si>
    <t>C2253</t>
  </si>
  <si>
    <t>O6253</t>
  </si>
  <si>
    <t>C5577</t>
  </si>
  <si>
    <t>O9577</t>
  </si>
  <si>
    <t>C4609</t>
  </si>
  <si>
    <t>O8609</t>
  </si>
  <si>
    <t>C6125</t>
  </si>
  <si>
    <t>O10125</t>
  </si>
  <si>
    <t>C1759</t>
  </si>
  <si>
    <t>O5759</t>
  </si>
  <si>
    <t>C2132</t>
  </si>
  <si>
    <t>O6132</t>
  </si>
  <si>
    <t>C5304</t>
  </si>
  <si>
    <t>O9304</t>
  </si>
  <si>
    <t>C6182</t>
  </si>
  <si>
    <t>O10182</t>
  </si>
  <si>
    <t>C5387</t>
  </si>
  <si>
    <t>O9387</t>
  </si>
  <si>
    <t>C1803</t>
  </si>
  <si>
    <t>O5803</t>
  </si>
  <si>
    <t>C3288</t>
  </si>
  <si>
    <t>O7288</t>
  </si>
  <si>
    <t>C2425</t>
  </si>
  <si>
    <t>O6425</t>
  </si>
  <si>
    <t>C1561</t>
  </si>
  <si>
    <t>O5561</t>
  </si>
  <si>
    <t>C4473</t>
  </si>
  <si>
    <t>O8473</t>
  </si>
  <si>
    <t>C5599</t>
  </si>
  <si>
    <t>O9599</t>
  </si>
  <si>
    <t>C2152</t>
  </si>
  <si>
    <t>O6152</t>
  </si>
  <si>
    <t>C2213</t>
  </si>
  <si>
    <t>O6213</t>
  </si>
  <si>
    <t>C5090</t>
  </si>
  <si>
    <t>O9090</t>
  </si>
  <si>
    <t>C3946</t>
  </si>
  <si>
    <t>O7946</t>
  </si>
  <si>
    <t>C2954</t>
  </si>
  <si>
    <t>O6954</t>
  </si>
  <si>
    <t>C5076</t>
  </si>
  <si>
    <t>O9076</t>
  </si>
  <si>
    <t>C4321</t>
  </si>
  <si>
    <t>O8321</t>
  </si>
  <si>
    <t>C5823</t>
  </si>
  <si>
    <t>O9823</t>
  </si>
  <si>
    <t>C5740</t>
  </si>
  <si>
    <t>O9740</t>
  </si>
  <si>
    <t>C6907</t>
  </si>
  <si>
    <t>O10907</t>
  </si>
  <si>
    <t>C5021</t>
  </si>
  <si>
    <t>O9021</t>
  </si>
  <si>
    <t>C1864</t>
  </si>
  <si>
    <t>O5864</t>
  </si>
  <si>
    <t>C2314</t>
  </si>
  <si>
    <t>O6314</t>
  </si>
  <si>
    <t>C2081</t>
  </si>
  <si>
    <t>O6081</t>
  </si>
  <si>
    <t>C6604</t>
  </si>
  <si>
    <t>O10604</t>
  </si>
  <si>
    <t>C3400</t>
  </si>
  <si>
    <t>O7400</t>
  </si>
  <si>
    <t>C3215</t>
  </si>
  <si>
    <t>O7215</t>
  </si>
  <si>
    <t>C3879</t>
  </si>
  <si>
    <t>O7879</t>
  </si>
  <si>
    <t>C4821</t>
  </si>
  <si>
    <t>O8821</t>
  </si>
  <si>
    <t>C4987</t>
  </si>
  <si>
    <t>O8987</t>
  </si>
  <si>
    <t>C6461</t>
  </si>
  <si>
    <t>O10461</t>
  </si>
  <si>
    <t>C2618</t>
  </si>
  <si>
    <t>O6618</t>
  </si>
  <si>
    <t>C5250</t>
  </si>
  <si>
    <t>O9250</t>
  </si>
  <si>
    <t>C3242</t>
  </si>
  <si>
    <t>O7242</t>
  </si>
  <si>
    <t>C1305</t>
  </si>
  <si>
    <t>O5305</t>
  </si>
  <si>
    <t>C6717</t>
  </si>
  <si>
    <t>O10717</t>
  </si>
  <si>
    <t>C2274</t>
  </si>
  <si>
    <t>O6274</t>
  </si>
  <si>
    <t>C6128</t>
  </si>
  <si>
    <t>O10128</t>
  </si>
  <si>
    <t>C2424</t>
  </si>
  <si>
    <t>O6424</t>
  </si>
  <si>
    <t>C3037</t>
  </si>
  <si>
    <t>O7037</t>
  </si>
  <si>
    <t>C6546</t>
  </si>
  <si>
    <t>O10546</t>
  </si>
  <si>
    <t>C6475</t>
  </si>
  <si>
    <t>O10475</t>
  </si>
  <si>
    <t>C4402</t>
  </si>
  <si>
    <t>O8402</t>
  </si>
  <si>
    <t>C3677</t>
  </si>
  <si>
    <t>O7677</t>
  </si>
  <si>
    <t>C1923</t>
  </si>
  <si>
    <t>O5923</t>
  </si>
  <si>
    <t>C1914</t>
  </si>
  <si>
    <t>O5914</t>
  </si>
  <si>
    <t>C2558</t>
  </si>
  <si>
    <t>O6558</t>
  </si>
  <si>
    <t>C1364</t>
  </si>
  <si>
    <t>O5364</t>
  </si>
  <si>
    <t>C1806</t>
  </si>
  <si>
    <t>O5806</t>
  </si>
  <si>
    <t>C5931</t>
  </si>
  <si>
    <t>O9931</t>
  </si>
  <si>
    <t>C6644</t>
  </si>
  <si>
    <t>O10644</t>
  </si>
  <si>
    <t>C3551</t>
  </si>
  <si>
    <t>O7551</t>
  </si>
  <si>
    <t>C2614</t>
  </si>
  <si>
    <t>O6614</t>
  </si>
  <si>
    <t>C4833</t>
  </si>
  <si>
    <t>O8833</t>
  </si>
  <si>
    <t>C4413</t>
  </si>
  <si>
    <t>O8413</t>
  </si>
  <si>
    <t>C1166</t>
  </si>
  <si>
    <t>O5166</t>
  </si>
  <si>
    <t>C5743</t>
  </si>
  <si>
    <t>O9743</t>
  </si>
  <si>
    <t>C4291</t>
  </si>
  <si>
    <t>O8291</t>
  </si>
  <si>
    <t>C2591</t>
  </si>
  <si>
    <t>O6591</t>
  </si>
  <si>
    <t>C5694</t>
  </si>
  <si>
    <t>O9694</t>
  </si>
  <si>
    <t>C6048</t>
  </si>
  <si>
    <t>O10048</t>
  </si>
  <si>
    <t>C5862</t>
  </si>
  <si>
    <t>O9862</t>
  </si>
  <si>
    <t>C6260</t>
  </si>
  <si>
    <t>O10260</t>
  </si>
  <si>
    <t>C2459</t>
  </si>
  <si>
    <t>O6459</t>
  </si>
  <si>
    <t>C5900</t>
  </si>
  <si>
    <t>O9900</t>
  </si>
  <si>
    <t>C5309</t>
  </si>
  <si>
    <t>O9309</t>
  </si>
  <si>
    <t>C3251</t>
  </si>
  <si>
    <t>O7251</t>
  </si>
  <si>
    <t>C4974</t>
  </si>
  <si>
    <t>O8974</t>
  </si>
  <si>
    <t>C6050</t>
  </si>
  <si>
    <t>O10050</t>
  </si>
  <si>
    <t>C2577</t>
  </si>
  <si>
    <t>O6577</t>
  </si>
  <si>
    <t>C5365</t>
  </si>
  <si>
    <t>O9365</t>
  </si>
  <si>
    <t>C2279</t>
  </si>
  <si>
    <t>O6279</t>
  </si>
  <si>
    <t>C2164</t>
  </si>
  <si>
    <t>O6164</t>
  </si>
  <si>
    <t>C2012</t>
  </si>
  <si>
    <t>O6012</t>
  </si>
  <si>
    <t>C5065</t>
  </si>
  <si>
    <t>O9065</t>
  </si>
  <si>
    <t>C5485</t>
  </si>
  <si>
    <t>O9485</t>
  </si>
  <si>
    <t>C5769</t>
  </si>
  <si>
    <t>O9769</t>
  </si>
  <si>
    <t>C3167</t>
  </si>
  <si>
    <t>O7167</t>
  </si>
  <si>
    <t>C5349</t>
  </si>
  <si>
    <t>O9349</t>
  </si>
  <si>
    <t>C6857</t>
  </si>
  <si>
    <t>O10857</t>
  </si>
  <si>
    <t>C2060</t>
  </si>
  <si>
    <t>O6060</t>
  </si>
  <si>
    <t>C3619</t>
  </si>
  <si>
    <t>O7619</t>
  </si>
  <si>
    <t>C4125</t>
  </si>
  <si>
    <t>O8125</t>
  </si>
  <si>
    <t>C4295</t>
  </si>
  <si>
    <t>O8295</t>
  </si>
  <si>
    <t>C5925</t>
  </si>
  <si>
    <t>O9925</t>
  </si>
  <si>
    <t>C3525</t>
  </si>
  <si>
    <t>O7525</t>
  </si>
  <si>
    <t>C3617</t>
  </si>
  <si>
    <t>O7617</t>
  </si>
  <si>
    <t>C4537</t>
  </si>
  <si>
    <t>O8537</t>
  </si>
  <si>
    <t>CUSTOMER ID</t>
  </si>
  <si>
    <t>GENDER</t>
  </si>
  <si>
    <t>AGE</t>
  </si>
  <si>
    <t>CITY</t>
  </si>
  <si>
    <t>SIGNUP DATE</t>
  </si>
  <si>
    <t>ORDER ID</t>
  </si>
  <si>
    <t>ORDER DATE</t>
  </si>
  <si>
    <t>RESTAURANT NAME</t>
  </si>
  <si>
    <t>DISH NAME</t>
  </si>
  <si>
    <t>CATEGORY</t>
  </si>
  <si>
    <t>QUANTITY</t>
  </si>
  <si>
    <t>PRICE</t>
  </si>
  <si>
    <t>PAYMENT METHOD</t>
  </si>
  <si>
    <t>ORDER FREQUENCY</t>
  </si>
  <si>
    <t>LAST ORDER DATE</t>
  </si>
  <si>
    <t>LOYALTY POINTS</t>
  </si>
  <si>
    <t>CHURNED</t>
  </si>
  <si>
    <t>RATING</t>
  </si>
  <si>
    <t>RATING DATE</t>
  </si>
  <si>
    <t>DELIVERY STATUS</t>
  </si>
  <si>
    <t>TASK #1</t>
  </si>
  <si>
    <t>Row Labels</t>
  </si>
  <si>
    <t>Grand Total</t>
  </si>
  <si>
    <t>Sum of REVENUE</t>
  </si>
  <si>
    <t>TASK #2</t>
  </si>
  <si>
    <t>Count of ORDER ID</t>
  </si>
  <si>
    <t>TASK #3</t>
  </si>
  <si>
    <t>TASK #4</t>
  </si>
  <si>
    <t>Average Rating</t>
  </si>
  <si>
    <t>TASK #5</t>
  </si>
  <si>
    <t>TASK #6</t>
  </si>
  <si>
    <t>TASK #7</t>
  </si>
  <si>
    <t>TASK #8</t>
  </si>
  <si>
    <t>TOTAL ORDERS</t>
  </si>
  <si>
    <t>TOTAL CUSTOMER</t>
  </si>
  <si>
    <t>TOTAL QUANTITY SOLD</t>
  </si>
  <si>
    <t>TOTAL REVENUE</t>
  </si>
  <si>
    <t>BURGER KING</t>
  </si>
  <si>
    <t>MCDONALD'S</t>
  </si>
  <si>
    <t>PIZZA HUT</t>
  </si>
  <si>
    <t>SUBWAY</t>
  </si>
  <si>
    <t>AVERAGE RATING</t>
  </si>
  <si>
    <t>REVENUE SHARE</t>
  </si>
  <si>
    <t xml:space="preserve">ORDERS FREQUENCY </t>
  </si>
  <si>
    <t>AVERAGE DISH PRICE</t>
  </si>
  <si>
    <t>RESTAURANT RATING</t>
  </si>
  <si>
    <t>CUSTOMERS</t>
  </si>
  <si>
    <t>QUANTITY SOLD</t>
  </si>
  <si>
    <t>Sum of QUANTITY</t>
  </si>
  <si>
    <t>ORDERS</t>
  </si>
  <si>
    <t>MAY</t>
  </si>
  <si>
    <t>ORDERS PER MONTH</t>
  </si>
  <si>
    <t>JUNE</t>
  </si>
  <si>
    <t>JULY</t>
  </si>
  <si>
    <t>TOTAL ORDERS FREQUENCY</t>
  </si>
  <si>
    <t>MAY ORDERS</t>
  </si>
  <si>
    <t>JUNE ORDERS</t>
  </si>
  <si>
    <t>JULY ORDERS</t>
  </si>
  <si>
    <t>TOTAL ORDER FREQUENCY</t>
  </si>
  <si>
    <t>HIGHEST REVENUE</t>
  </si>
  <si>
    <t>MOST ORDERS</t>
  </si>
  <si>
    <t>FOOD CATEGORY</t>
  </si>
  <si>
    <t>TASK #10</t>
  </si>
  <si>
    <t>1. Pizza Hut leads with 265,411.62 in revenue, slightly higher than Burger King and KFC</t>
  </si>
  <si>
    <t>2. Multan recorded the highest number of orders among all cities</t>
  </si>
  <si>
    <t>3. The majority of customers prefer paying card rather than cash or wallet</t>
  </si>
  <si>
    <t>4. Continental dishes sold the highest quantity among all categories</t>
  </si>
  <si>
    <t>5. The average customer rating is 3.08 out of 5</t>
  </si>
  <si>
    <t>Total Revenue</t>
  </si>
  <si>
    <t>Total Orders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</si>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</sst>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&quot;$&quot;#,##0"/>
    <numFmt numFmtId="169" formatCode="_-[$₱-464]* #,##0.00_-;\-[$₱-464]* #,##0.00_-;_-[$₱-464]* &quot;-&quot;??_-;_-@_-"/>
    <numFmt numFmtId="170" formatCode="_-[$₱-3409]* #,##0.00_-;\-[$₱-3409]* #,##0.00_-;_-[$₱-3409]* &quot;-&quot;??_-;_-@_-"/>
    <numFmt numFmtId="176" formatCode="0.0"/>
    <numFmt numFmtId="181" formatCode="_(* #,##0_);_(* \(#,##0\);_(* &quot;-&quot;??_);_(@_)"/>
    <numFmt numFmtId="183" formatCode="mm/dd/yy;@"/>
  </numFmts>
  <fonts count="29">
    <font>
      <sz val="10"/>
      <color rgb="FF000000"/>
      <name val="Arial"/>
      <scheme val="minor"/>
    </font>
    <font>
      <sz val="10"/>
      <color rgb="FFFFFFFF"/>
      <name val="Poppins"/>
    </font>
    <font>
      <sz val="10"/>
      <color theme="1"/>
      <name val="Arial"/>
      <family val="2"/>
      <scheme val="minor"/>
    </font>
    <font>
      <b/>
      <sz val="33"/>
      <color rgb="FFFFFFFF"/>
      <name val="Cinzel"/>
    </font>
    <font>
      <b/>
      <sz val="13"/>
      <color rgb="FFD9EAD3"/>
      <name val="Poppins"/>
    </font>
    <font>
      <sz val="10"/>
      <name val="Arial"/>
      <family val="2"/>
    </font>
    <font>
      <b/>
      <sz val="38"/>
      <color rgb="FFFFFFFF"/>
      <name val="Poppins"/>
    </font>
    <font>
      <b/>
      <sz val="35"/>
      <color rgb="FFFFFFFF"/>
      <name val="Poppins"/>
    </font>
    <font>
      <b/>
      <sz val="14"/>
      <color rgb="FFD9EAD3"/>
      <name val="Poppins"/>
    </font>
    <font>
      <b/>
      <sz val="16"/>
      <color rgb="FFB2F4B2"/>
      <name val="Poppins"/>
    </font>
    <font>
      <b/>
      <sz val="31"/>
      <color rgb="FFFFFFFF"/>
      <name val="Poppins"/>
    </font>
    <font>
      <b/>
      <sz val="22"/>
      <color rgb="FFFFFFFF"/>
      <name val="Poppins"/>
    </font>
    <font>
      <b/>
      <sz val="11"/>
      <color rgb="FF434343"/>
      <name val="Poppins"/>
    </font>
    <font>
      <sz val="11"/>
      <color rgb="FFFFFFFF"/>
      <name val="Poppins"/>
    </font>
    <font>
      <b/>
      <sz val="18"/>
      <color rgb="FF434343"/>
      <name val="Poppins"/>
    </font>
    <font>
      <sz val="10"/>
      <color rgb="FF000000"/>
      <name val="Arial"/>
      <family val="2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20"/>
      <color rgb="FFD9EAD3"/>
      <name val="Poppins"/>
    </font>
    <font>
      <sz val="20"/>
      <name val="Arial"/>
      <family val="2"/>
    </font>
    <font>
      <sz val="14"/>
      <color rgb="FF000000"/>
      <name val="Arial"/>
      <family val="2"/>
      <scheme val="minor"/>
    </font>
    <font>
      <b/>
      <sz val="18"/>
      <color rgb="FFD0E0E3"/>
      <name val="Poppins"/>
    </font>
    <font>
      <b/>
      <sz val="36"/>
      <color rgb="FFFFFFFF"/>
      <name val="Poppins"/>
    </font>
    <font>
      <sz val="36"/>
      <name val="Arial"/>
      <family val="2"/>
    </font>
    <font>
      <sz val="36"/>
      <color rgb="FF000000"/>
      <name val="Arial"/>
      <family val="2"/>
      <scheme val="minor"/>
    </font>
    <font>
      <b/>
      <sz val="20"/>
      <color theme="7" tint="0.79998168889431442"/>
      <name val="Poppins"/>
    </font>
    <font>
      <b/>
      <sz val="11"/>
      <color rgb="FFFFFFFF"/>
      <name val="Poppins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45818E"/>
        <bgColor rgb="FF45818E"/>
      </patternFill>
    </fill>
    <fill>
      <patternFill patternType="solid">
        <fgColor rgb="FF134F5C"/>
        <bgColor rgb="FF134F5C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rgb="FFD9EAD3"/>
      </bottom>
      <diagonal/>
    </border>
    <border>
      <left style="thin">
        <color rgb="FFD9EAD3"/>
      </left>
      <right/>
      <top style="thin">
        <color rgb="FFD9EAD3"/>
      </top>
      <bottom/>
      <diagonal/>
    </border>
    <border>
      <left/>
      <right/>
      <top style="thin">
        <color rgb="FFD9EAD3"/>
      </top>
      <bottom/>
      <diagonal/>
    </border>
    <border>
      <left/>
      <right style="thin">
        <color rgb="FFD9EAD3"/>
      </right>
      <top style="thin">
        <color rgb="FFD9EAD3"/>
      </top>
      <bottom/>
      <diagonal/>
    </border>
    <border>
      <left style="thin">
        <color rgb="FFD9EAD3"/>
      </left>
      <right/>
      <top/>
      <bottom/>
      <diagonal/>
    </border>
    <border>
      <left/>
      <right style="thin">
        <color rgb="FFD9EAD3"/>
      </right>
      <top/>
      <bottom/>
      <diagonal/>
    </border>
    <border>
      <left style="thin">
        <color rgb="FFD9EAD3"/>
      </left>
      <right/>
      <top/>
      <bottom style="double">
        <color rgb="FFD9EAD3"/>
      </bottom>
      <diagonal/>
    </border>
    <border>
      <left/>
      <right style="thin">
        <color rgb="FFD9EAD3"/>
      </right>
      <top/>
      <bottom style="double">
        <color rgb="FFD9EAD3"/>
      </bottom>
      <diagonal/>
    </border>
    <border>
      <left/>
      <right/>
      <top/>
      <bottom style="thin">
        <color rgb="FFD9EAD3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D9EAD3"/>
      </top>
      <bottom style="double">
        <color rgb="FFD9EAD3"/>
      </bottom>
      <diagonal/>
    </border>
    <border>
      <left style="thin">
        <color rgb="FFFFFFFF"/>
      </left>
      <right/>
      <top style="thin">
        <color rgb="FFD9EAD3"/>
      </top>
      <bottom style="double">
        <color rgb="FFD9EAD3"/>
      </bottom>
      <diagonal/>
    </border>
    <border>
      <left style="thin">
        <color rgb="FFD9EAD3"/>
      </left>
      <right/>
      <top/>
      <bottom style="thin">
        <color rgb="FFD9EAD3"/>
      </bottom>
      <diagonal/>
    </border>
    <border>
      <left style="thin">
        <color rgb="FFBFBFBF"/>
      </left>
      <right style="thin">
        <color rgb="FFBFBFBF"/>
      </right>
      <top/>
      <bottom style="thin">
        <color rgb="FFD9EAD3"/>
      </bottom>
      <diagonal/>
    </border>
    <border>
      <left/>
      <right style="thin">
        <color rgb="FFBFBFBF"/>
      </right>
      <top/>
      <bottom style="thin">
        <color rgb="FFD9EAD3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double">
        <color theme="7" tint="0.79998168889431442"/>
      </bottom>
      <diagonal/>
    </border>
    <border>
      <left/>
      <right/>
      <top style="double">
        <color theme="7" tint="0.79998168889431442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</borders>
  <cellStyleXfs count="3">
    <xf numFmtId="0" fontId="0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4" borderId="0" xfId="0" applyFont="1" applyFill="1"/>
    <xf numFmtId="0" fontId="9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4" fontId="11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3" fontId="13" fillId="2" borderId="18" xfId="0" applyNumberFormat="1" applyFont="1" applyFill="1" applyBorder="1" applyAlignment="1">
      <alignment horizontal="center"/>
    </xf>
    <xf numFmtId="3" fontId="13" fillId="2" borderId="19" xfId="0" applyNumberFormat="1" applyFont="1" applyFill="1" applyBorder="1" applyAlignment="1">
      <alignment horizontal="center"/>
    </xf>
    <xf numFmtId="0" fontId="12" fillId="6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0" fontId="0" fillId="0" borderId="0" xfId="0"/>
    <xf numFmtId="0" fontId="8" fillId="4" borderId="0" xfId="0" applyFont="1" applyFill="1" applyAlignment="1">
      <alignment horizontal="center" vertical="center"/>
    </xf>
    <xf numFmtId="0" fontId="5" fillId="0" borderId="1" xfId="0" applyFont="1" applyBorder="1"/>
    <xf numFmtId="0" fontId="5" fillId="0" borderId="9" xfId="0" applyFont="1" applyBorder="1"/>
    <xf numFmtId="165" fontId="10" fillId="4" borderId="0" xfId="0" applyNumberFormat="1" applyFont="1" applyFill="1" applyAlignment="1">
      <alignment horizontal="center" vertical="center"/>
    </xf>
    <xf numFmtId="0" fontId="5" fillId="0" borderId="3" xfId="0" applyFont="1" applyBorder="1"/>
    <xf numFmtId="0" fontId="3" fillId="3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5" fillId="0" borderId="17" xfId="0" applyFont="1" applyBorder="1"/>
    <xf numFmtId="170" fontId="0" fillId="0" borderId="0" xfId="0" applyNumberFormat="1" applyAlignment="1">
      <alignment horizontal="center" vertical="center"/>
    </xf>
    <xf numFmtId="170" fontId="16" fillId="0" borderId="0" xfId="0" applyNumberFormat="1" applyFont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0" fontId="0" fillId="0" borderId="0" xfId="0" applyNumberFormat="1"/>
    <xf numFmtId="0" fontId="13" fillId="2" borderId="19" xfId="0" applyNumberFormat="1" applyFont="1" applyFill="1" applyBorder="1" applyAlignment="1">
      <alignment horizontal="center"/>
    </xf>
    <xf numFmtId="2" fontId="17" fillId="0" borderId="20" xfId="0" applyNumberFormat="1" applyFont="1" applyBorder="1" applyAlignment="1">
      <alignment horizontal="center" vertical="center"/>
    </xf>
    <xf numFmtId="170" fontId="13" fillId="2" borderId="19" xfId="0" applyNumberFormat="1" applyFont="1" applyFill="1" applyBorder="1" applyAlignment="1">
      <alignment horizontal="center"/>
    </xf>
    <xf numFmtId="2" fontId="13" fillId="2" borderId="19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4" borderId="0" xfId="0" applyFont="1" applyFill="1" applyAlignment="1">
      <alignment horizontal="center" vertical="center"/>
    </xf>
    <xf numFmtId="0" fontId="20" fillId="0" borderId="1" xfId="0" applyFont="1" applyBorder="1"/>
    <xf numFmtId="0" fontId="19" fillId="4" borderId="0" xfId="0" applyFont="1" applyFill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/>
    <xf numFmtId="0" fontId="22" fillId="5" borderId="21" xfId="0" applyFont="1" applyFill="1" applyBorder="1" applyAlignment="1">
      <alignment horizontal="center" vertical="center" wrapText="1"/>
    </xf>
    <xf numFmtId="0" fontId="22" fillId="5" borderId="10" xfId="0" applyFont="1" applyFill="1" applyBorder="1" applyAlignment="1">
      <alignment horizontal="center" vertical="center" wrapText="1"/>
    </xf>
    <xf numFmtId="3" fontId="23" fillId="4" borderId="2" xfId="0" applyNumberFormat="1" applyFont="1" applyFill="1" applyBorder="1" applyAlignment="1">
      <alignment horizontal="center" vertical="center" wrapText="1"/>
    </xf>
    <xf numFmtId="170" fontId="23" fillId="4" borderId="3" xfId="0" applyNumberFormat="1" applyFont="1" applyFill="1" applyBorder="1" applyAlignment="1">
      <alignment horizontal="center" vertical="center" wrapText="1"/>
    </xf>
    <xf numFmtId="2" fontId="23" fillId="4" borderId="2" xfId="0" applyNumberFormat="1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170" fontId="24" fillId="0" borderId="4" xfId="0" applyNumberFormat="1" applyFont="1" applyBorder="1" applyAlignment="1">
      <alignment horizontal="center" vertical="center" wrapText="1"/>
    </xf>
    <xf numFmtId="0" fontId="24" fillId="0" borderId="3" xfId="0" applyNumberFormat="1" applyFont="1" applyBorder="1" applyAlignment="1">
      <alignment horizontal="center" vertical="center" wrapText="1"/>
    </xf>
    <xf numFmtId="0" fontId="24" fillId="0" borderId="4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170" fontId="25" fillId="0" borderId="0" xfId="0" applyNumberFormat="1" applyFont="1" applyAlignment="1">
      <alignment horizontal="center" vertical="center" wrapText="1"/>
    </xf>
    <xf numFmtId="170" fontId="24" fillId="0" borderId="6" xfId="0" applyNumberFormat="1" applyFont="1" applyBorder="1" applyAlignment="1">
      <alignment horizontal="center" vertical="center" wrapText="1"/>
    </xf>
    <xf numFmtId="0" fontId="24" fillId="0" borderId="5" xfId="0" applyNumberFormat="1" applyFont="1" applyBorder="1" applyAlignment="1">
      <alignment horizontal="center" vertical="center" wrapText="1"/>
    </xf>
    <xf numFmtId="0" fontId="25" fillId="0" borderId="0" xfId="0" applyNumberFormat="1" applyFont="1" applyAlignment="1">
      <alignment horizontal="center" vertical="center" wrapText="1"/>
    </xf>
    <xf numFmtId="0" fontId="24" fillId="0" borderId="6" xfId="0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170" fontId="24" fillId="0" borderId="1" xfId="0" applyNumberFormat="1" applyFont="1" applyBorder="1" applyAlignment="1">
      <alignment horizontal="center" vertical="center" wrapText="1"/>
    </xf>
    <xf numFmtId="170" fontId="24" fillId="0" borderId="8" xfId="0" applyNumberFormat="1" applyFont="1" applyBorder="1" applyAlignment="1">
      <alignment horizontal="center" vertical="center" wrapText="1"/>
    </xf>
    <xf numFmtId="0" fontId="24" fillId="0" borderId="7" xfId="0" applyNumberFormat="1" applyFont="1" applyBorder="1" applyAlignment="1">
      <alignment horizontal="center" vertical="center" wrapText="1"/>
    </xf>
    <xf numFmtId="0" fontId="24" fillId="0" borderId="1" xfId="0" applyNumberFormat="1" applyFont="1" applyBorder="1" applyAlignment="1">
      <alignment horizontal="center" vertical="center" wrapText="1"/>
    </xf>
    <xf numFmtId="0" fontId="24" fillId="0" borderId="8" xfId="0" applyNumberFormat="1" applyFont="1" applyBorder="1" applyAlignment="1">
      <alignment horizontal="center" vertical="center" wrapText="1"/>
    </xf>
    <xf numFmtId="181" fontId="23" fillId="4" borderId="2" xfId="1" applyNumberFormat="1" applyFont="1" applyFill="1" applyBorder="1" applyAlignment="1">
      <alignment horizontal="center" vertical="center"/>
    </xf>
    <xf numFmtId="181" fontId="24" fillId="0" borderId="4" xfId="1" applyNumberFormat="1" applyFont="1" applyBorder="1" applyAlignment="1">
      <alignment horizontal="center" vertical="center"/>
    </xf>
    <xf numFmtId="181" fontId="24" fillId="0" borderId="5" xfId="1" applyNumberFormat="1" applyFont="1" applyBorder="1" applyAlignment="1">
      <alignment horizontal="center" vertical="center"/>
    </xf>
    <xf numFmtId="181" fontId="24" fillId="0" borderId="6" xfId="1" applyNumberFormat="1" applyFont="1" applyBorder="1" applyAlignment="1">
      <alignment horizontal="center" vertical="center"/>
    </xf>
    <xf numFmtId="181" fontId="24" fillId="0" borderId="7" xfId="1" applyNumberFormat="1" applyFont="1" applyBorder="1" applyAlignment="1">
      <alignment horizontal="center" vertical="center"/>
    </xf>
    <xf numFmtId="181" fontId="24" fillId="0" borderId="8" xfId="1" applyNumberFormat="1" applyFont="1" applyBorder="1" applyAlignment="1">
      <alignment horizontal="center" vertical="center"/>
    </xf>
    <xf numFmtId="0" fontId="0" fillId="0" borderId="0" xfId="0" applyBorder="1"/>
    <xf numFmtId="0" fontId="2" fillId="4" borderId="0" xfId="0" applyFont="1" applyFill="1" applyBorder="1"/>
    <xf numFmtId="165" fontId="10" fillId="4" borderId="0" xfId="0" applyNumberFormat="1" applyFont="1" applyFill="1" applyBorder="1" applyAlignment="1">
      <alignment horizontal="center" vertical="center"/>
    </xf>
    <xf numFmtId="44" fontId="10" fillId="4" borderId="0" xfId="0" applyNumberFormat="1" applyFont="1" applyFill="1" applyBorder="1" applyAlignment="1">
      <alignment horizontal="center" vertical="center"/>
    </xf>
    <xf numFmtId="183" fontId="7" fillId="2" borderId="0" xfId="0" applyNumberFormat="1" applyFont="1" applyFill="1" applyAlignment="1">
      <alignment horizontal="center" vertical="center"/>
    </xf>
    <xf numFmtId="183" fontId="0" fillId="0" borderId="0" xfId="0" applyNumberFormat="1"/>
    <xf numFmtId="0" fontId="19" fillId="2" borderId="1" xfId="0" applyFont="1" applyFill="1" applyBorder="1" applyAlignment="1">
      <alignment horizontal="center" vertical="center"/>
    </xf>
    <xf numFmtId="0" fontId="0" fillId="7" borderId="0" xfId="0" applyFill="1"/>
    <xf numFmtId="0" fontId="19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6" fillId="4" borderId="0" xfId="0" applyFont="1" applyFill="1" applyBorder="1" applyAlignment="1">
      <alignment horizontal="center" vertical="center"/>
    </xf>
    <xf numFmtId="0" fontId="26" fillId="4" borderId="22" xfId="0" applyFont="1" applyFill="1" applyBorder="1" applyAlignment="1">
      <alignment horizontal="center" vertical="center"/>
    </xf>
    <xf numFmtId="165" fontId="10" fillId="4" borderId="23" xfId="0" applyNumberFormat="1" applyFont="1" applyFill="1" applyBorder="1" applyAlignment="1">
      <alignment horizontal="center" vertical="center" wrapText="1"/>
    </xf>
    <xf numFmtId="165" fontId="10" fillId="4" borderId="0" xfId="0" applyNumberFormat="1" applyFont="1" applyFill="1" applyAlignment="1">
      <alignment horizontal="center" vertical="center" wrapText="1"/>
    </xf>
    <xf numFmtId="0" fontId="26" fillId="4" borderId="0" xfId="0" applyFont="1" applyFill="1" applyBorder="1" applyAlignment="1">
      <alignment vertical="center"/>
    </xf>
    <xf numFmtId="165" fontId="10" fillId="4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/>
    <xf numFmtId="9" fontId="13" fillId="2" borderId="0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13" fillId="2" borderId="13" xfId="0" applyNumberFormat="1" applyFont="1" applyFill="1" applyBorder="1" applyAlignment="1">
      <alignment horizontal="center" vertical="center"/>
    </xf>
    <xf numFmtId="0" fontId="13" fillId="4" borderId="14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170" fontId="13" fillId="2" borderId="13" xfId="0" applyNumberFormat="1" applyFont="1" applyFill="1" applyBorder="1" applyAlignment="1">
      <alignment horizontal="center" vertical="center"/>
    </xf>
    <xf numFmtId="176" fontId="13" fillId="4" borderId="13" xfId="0" applyNumberFormat="1" applyFont="1" applyFill="1" applyBorder="1" applyAlignment="1">
      <alignment horizontal="center" vertical="center"/>
    </xf>
    <xf numFmtId="0" fontId="13" fillId="2" borderId="13" xfId="0" applyNumberFormat="1" applyFont="1" applyFill="1" applyBorder="1" applyAlignment="1">
      <alignment horizontal="center" vertical="center"/>
    </xf>
    <xf numFmtId="170" fontId="27" fillId="4" borderId="12" xfId="0" applyNumberFormat="1" applyFont="1" applyFill="1" applyBorder="1" applyAlignment="1">
      <alignment horizontal="center" vertical="center"/>
    </xf>
    <xf numFmtId="170" fontId="28" fillId="0" borderId="12" xfId="0" applyNumberFormat="1" applyFont="1" applyBorder="1" applyAlignment="1">
      <alignment horizontal="center" vertical="center"/>
    </xf>
    <xf numFmtId="170" fontId="28" fillId="0" borderId="13" xfId="0" applyNumberFormat="1" applyFont="1" applyBorder="1" applyAlignment="1">
      <alignment horizontal="center" vertical="center"/>
    </xf>
    <xf numFmtId="10" fontId="13" fillId="4" borderId="13" xfId="2" applyNumberFormat="1" applyFont="1" applyFill="1" applyBorder="1" applyAlignment="1">
      <alignment horizontal="center" vertical="center"/>
    </xf>
    <xf numFmtId="0" fontId="13" fillId="2" borderId="9" xfId="0" applyNumberFormat="1" applyFont="1" applyFill="1" applyBorder="1" applyAlignment="1">
      <alignment horizontal="center"/>
    </xf>
    <xf numFmtId="0" fontId="12" fillId="6" borderId="24" xfId="0" applyFont="1" applyFill="1" applyBorder="1" applyAlignment="1">
      <alignment horizontal="center" vertical="center" wrapText="1"/>
    </xf>
    <xf numFmtId="0" fontId="5" fillId="0" borderId="24" xfId="0" applyFont="1" applyBorder="1"/>
    <xf numFmtId="165" fontId="27" fillId="2" borderId="24" xfId="0" applyNumberFormat="1" applyFont="1" applyFill="1" applyBorder="1" applyAlignment="1">
      <alignment horizontal="center"/>
    </xf>
    <xf numFmtId="0" fontId="28" fillId="0" borderId="24" xfId="0" applyFont="1" applyBorder="1"/>
    <xf numFmtId="0" fontId="0" fillId="7" borderId="0" xfId="0" applyNumberFormat="1" applyFill="1"/>
    <xf numFmtId="0" fontId="15" fillId="0" borderId="0" xfId="0" applyFont="1" applyFill="1" applyBorder="1" applyAlignment="1">
      <alignment horizontal="left" vertical="center"/>
    </xf>
    <xf numFmtId="0" fontId="15" fillId="0" borderId="24" xfId="0" applyFont="1" applyBorder="1" applyAlignment="1">
      <alignment horizontal="left"/>
    </xf>
    <xf numFmtId="0" fontId="0" fillId="0" borderId="24" xfId="0" applyBorder="1" applyAlignment="1">
      <alignment horizontal="left"/>
    </xf>
    <xf numFmtId="170" fontId="0" fillId="0" borderId="0" xfId="1" applyNumberFormat="1" applyFont="1"/>
    <xf numFmtId="2" fontId="15" fillId="0" borderId="0" xfId="0" applyNumberFormat="1" applyFont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3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9" formatCode="_-[$₱-464]* #,##0.00_-;\-[$₱-464]* #,##0.00_-;_-[$₱-464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0" formatCode="_-[$₱-3409]* #,##0.00_-;\-[$₱-3409]* #,##0.00_-;_-[$₱-3409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0" formatCode="_-[$₱-3409]* #,##0.00_-;\-[$₱-3409]* #,##0.00_-;_-[$₱-3409]* &quot;-&quot;??_-;_-@_-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0E0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Burger King</c:v>
              </c:pt>
              <c:pt idx="1">
                <c:v>KFC</c:v>
              </c:pt>
              <c:pt idx="2">
                <c:v>McDonald's</c:v>
              </c:pt>
              <c:pt idx="3">
                <c:v>Pizza Hut</c:v>
              </c:pt>
              <c:pt idx="4">
                <c:v>Subway</c:v>
              </c:pt>
            </c:strLit>
          </c:cat>
          <c:val>
            <c:numLit>
              <c:formatCode>General</c:formatCode>
              <c:ptCount val="5"/>
              <c:pt idx="0">
                <c:v>97</c:v>
              </c:pt>
              <c:pt idx="1">
                <c:v>99</c:v>
              </c:pt>
              <c:pt idx="2">
                <c:v>82</c:v>
              </c:pt>
              <c:pt idx="3">
                <c:v>116</c:v>
              </c:pt>
              <c:pt idx="4">
                <c:v>106</c:v>
              </c:pt>
            </c:numLit>
          </c:val>
          <c:extLst>
            <c:ext xmlns:c16="http://schemas.microsoft.com/office/drawing/2014/chart" uri="{C3380CC4-5D6E-409C-BE32-E72D297353CC}">
              <c16:uniqueId val="{00000001-2103-4041-8038-DEBC3AAC1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329648"/>
        <c:axId val="2115329168"/>
      </c:barChart>
      <c:catAx>
        <c:axId val="211532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29168"/>
        <c:crosses val="autoZero"/>
        <c:auto val="1"/>
        <c:lblAlgn val="ctr"/>
        <c:lblOffset val="100"/>
        <c:noMultiLvlLbl val="0"/>
      </c:catAx>
      <c:valAx>
        <c:axId val="211532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2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Islamabad</c:v>
              </c:pt>
              <c:pt idx="1">
                <c:v>Karachi</c:v>
              </c:pt>
              <c:pt idx="2">
                <c:v>Lahore</c:v>
              </c:pt>
              <c:pt idx="3">
                <c:v>Multan</c:v>
              </c:pt>
              <c:pt idx="4">
                <c:v>Peshawar</c:v>
              </c:pt>
            </c:strLit>
          </c:cat>
          <c:val>
            <c:numLit>
              <c:formatCode>General</c:formatCode>
              <c:ptCount val="5"/>
              <c:pt idx="0">
                <c:v>97</c:v>
              </c:pt>
              <c:pt idx="1">
                <c:v>104</c:v>
              </c:pt>
              <c:pt idx="2">
                <c:v>85</c:v>
              </c:pt>
              <c:pt idx="3">
                <c:v>110</c:v>
              </c:pt>
              <c:pt idx="4">
                <c:v>104</c:v>
              </c:pt>
            </c:numLit>
          </c:val>
          <c:extLst>
            <c:ext xmlns:c16="http://schemas.microsoft.com/office/drawing/2014/chart" uri="{C3380CC4-5D6E-409C-BE32-E72D297353CC}">
              <c16:uniqueId val="{00000000-9D63-47CE-A7CA-5509D9F93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87152"/>
        <c:axId val="96883792"/>
      </c:barChart>
      <c:catAx>
        <c:axId val="9688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3792"/>
        <c:crosses val="autoZero"/>
        <c:auto val="1"/>
        <c:lblAlgn val="ctr"/>
        <c:lblOffset val="100"/>
        <c:noMultiLvlLbl val="0"/>
      </c:catAx>
      <c:valAx>
        <c:axId val="9688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800" b="1" i="0" u="none" strike="noStrike" kern="1200" baseline="0">
                <a:solidFill>
                  <a:srgbClr val="D0E0E3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D0E0E3"/>
                </a:solidFill>
                <a:latin typeface="+mn-lt"/>
              </a:rPr>
              <a:t>ORDERS PER RESTAURANT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800" b="1" i="0" u="none" strike="noStrike" kern="1200" baseline="0">
              <a:solidFill>
                <a:srgbClr val="D0E0E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6350" cap="flat" cmpd="sng" algn="ctr">
          <a:solidFill>
            <a:schemeClr val="tx1">
              <a:tint val="75000"/>
            </a:schemeClr>
          </a:solidFill>
          <a:prstDash val="solid"/>
          <a:round/>
        </a:ln>
        <a:effectLst/>
        <a:sp3d contourW="6350">
          <a:contourClr>
            <a:schemeClr val="tx1">
              <a:tint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3"/>
          <c:order val="3"/>
          <c:tx>
            <c:strRef>
              <c:f>DASHBOARD!$H$26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DASHBOARD!$D$27:$D$31</c:f>
              <c:strCache>
                <c:ptCount val="5"/>
                <c:pt idx="0">
                  <c:v>BURGER KING</c:v>
                </c:pt>
                <c:pt idx="1">
                  <c:v>KFC</c:v>
                </c:pt>
                <c:pt idx="2">
                  <c:v>MCDONALD'S</c:v>
                </c:pt>
                <c:pt idx="3">
                  <c:v>PIZZA HUT</c:v>
                </c:pt>
                <c:pt idx="4">
                  <c:v>SUBWAY</c:v>
                </c:pt>
              </c:strCache>
            </c:strRef>
          </c:cat>
          <c:val>
            <c:numRef>
              <c:f>DASHBOARD!$H$27:$H$31</c:f>
              <c:numCache>
                <c:formatCode>#,##0</c:formatCode>
                <c:ptCount val="5"/>
                <c:pt idx="0">
                  <c:v>97</c:v>
                </c:pt>
                <c:pt idx="1">
                  <c:v>99</c:v>
                </c:pt>
                <c:pt idx="2">
                  <c:v>82</c:v>
                </c:pt>
                <c:pt idx="3">
                  <c:v>116</c:v>
                </c:pt>
                <c:pt idx="4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974-4FD4-8F5B-5D8CD132C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5981495"/>
        <c:axId val="817223974"/>
        <c:axId val="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DASHBOARD!$E$26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tint val="58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1"/>
                <c:dPt>
                  <c:idx val="2"/>
                  <c:invertIfNegative val="1"/>
                  <c:bubble3D val="0"/>
                  <c:extLst>
                    <c:ext xmlns:c16="http://schemas.microsoft.com/office/drawing/2014/chart" uri="{C3380CC4-5D6E-409C-BE32-E72D297353CC}">
                      <c16:uniqueId val="{00000000-9974-4FD4-8F5B-5D8CD132CE91}"/>
                    </c:ext>
                  </c:extLst>
                </c:dPt>
                <c:dLbls>
                  <c:spPr>
                    <a:solidFill>
                      <a:srgbClr val="FFFFFF"/>
                    </a:solidFill>
                    <a:ln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errBars>
                  <c:errBarType val="both"/>
                  <c:errValType val="percentage"/>
                  <c:noEndCap val="0"/>
                  <c:val val="10"/>
                  <c:spPr>
                    <a:solidFill>
                      <a:schemeClr val="tx1"/>
                    </a:solidFill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:errBars>
                <c:cat>
                  <c:strRef>
                    <c:extLst>
                      <c:ext uri="{02D57815-91ED-43cb-92C2-25804820EDAC}">
                        <c15:formulaRef>
                          <c15:sqref>DASHBOARD!$D$27:$D$31</c15:sqref>
                        </c15:formulaRef>
                      </c:ext>
                    </c:extLst>
                    <c:strCache>
                      <c:ptCount val="5"/>
                      <c:pt idx="0">
                        <c:v>BURGER KING</c:v>
                      </c:pt>
                      <c:pt idx="1">
                        <c:v>KFC</c:v>
                      </c:pt>
                      <c:pt idx="2">
                        <c:v>MCDONALD'S</c:v>
                      </c:pt>
                      <c:pt idx="3">
                        <c:v>PIZZA HUT</c:v>
                      </c:pt>
                      <c:pt idx="4">
                        <c:v>SUBWAY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DASHBOARD!$E$27:$E$31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974-4FD4-8F5B-5D8CD132CE9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DASHBOARD!$F$26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tint val="86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solidFill>
                      <a:srgbClr val="FFFFFF"/>
                    </a:solidFill>
                    <a:ln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DASHBOARD!$D$27:$D$31</c15:sqref>
                        </c15:formulaRef>
                      </c:ext>
                    </c:extLst>
                    <c:strCache>
                      <c:ptCount val="5"/>
                      <c:pt idx="0">
                        <c:v>BURGER KING</c:v>
                      </c:pt>
                      <c:pt idx="1">
                        <c:v>KFC</c:v>
                      </c:pt>
                      <c:pt idx="2">
                        <c:v>MCDONALD'S</c:v>
                      </c:pt>
                      <c:pt idx="3">
                        <c:v>PIZZA HUT</c:v>
                      </c:pt>
                      <c:pt idx="4">
                        <c:v>SUBWAY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DASHBOARD!$F$27:$F$31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974-4FD4-8F5B-5D8CD132CE9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DASHBOARD!$G$26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shade val="86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dLbls>
                  <c:spPr>
                    <a:solidFill>
                      <a:srgbClr val="FFFFFF"/>
                    </a:solidFill>
                    <a:ln>
                      <a:solidFill>
                        <a:srgbClr val="000000">
                          <a:lumMod val="65000"/>
                          <a:lumOff val="35000"/>
                        </a:srgbClr>
                      </a:solidFill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dk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1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wedgeRectCallout">
                          <a:avLst/>
                        </a:prstGeom>
                        <a:noFill/>
                        <a:ln>
                          <a:noFill/>
                        </a:ln>
                      </c15:spPr>
                      <c15:showLeaderLines val="0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DASHBOARD!$D$27:$D$31</c15:sqref>
                        </c15:formulaRef>
                      </c:ext>
                    </c:extLst>
                    <c:strCache>
                      <c:ptCount val="5"/>
                      <c:pt idx="0">
                        <c:v>BURGER KING</c:v>
                      </c:pt>
                      <c:pt idx="1">
                        <c:v>KFC</c:v>
                      </c:pt>
                      <c:pt idx="2">
                        <c:v>MCDONALD'S</c:v>
                      </c:pt>
                      <c:pt idx="3">
                        <c:v>PIZZA HUT</c:v>
                      </c:pt>
                      <c:pt idx="4">
                        <c:v>SUBWAY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DASHBOARD!$G$27:$G$31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9974-4FD4-8F5B-5D8CD132CE91}"/>
                  </c:ext>
                </c:extLst>
              </c15:ser>
            </c15:filteredBarSeries>
          </c:ext>
        </c:extLst>
      </c:bar3DChart>
      <c:catAx>
        <c:axId val="555981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D9EAD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23974"/>
        <c:crosses val="autoZero"/>
        <c:auto val="1"/>
        <c:lblAlgn val="ctr"/>
        <c:lblOffset val="100"/>
        <c:noMultiLvlLbl val="1"/>
      </c:catAx>
      <c:valAx>
        <c:axId val="81722397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D9EAD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81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rgbClr val="134F5C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[G5 - TESDA CAPSTONE.xlsx]PROJECT TASK!PivotTable3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800" b="1" i="0" u="none" strike="noStrike" kern="1200" baseline="0">
                <a:solidFill>
                  <a:srgbClr val="D0E0E3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D0E0E3"/>
                </a:solidFill>
                <a:latin typeface="+mn-lt"/>
              </a:rPr>
              <a:t>ORDERS</a:t>
            </a:r>
            <a:r>
              <a:rPr lang="en-US" b="1" baseline="0">
                <a:solidFill>
                  <a:srgbClr val="D0E0E3"/>
                </a:solidFill>
                <a:latin typeface="+mn-lt"/>
              </a:rPr>
              <a:t> BY CITY</a:t>
            </a:r>
            <a:endParaRPr lang="en-US" b="1">
              <a:solidFill>
                <a:srgbClr val="D0E0E3"/>
              </a:solidFill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800" b="1" i="0" u="none" strike="noStrike" kern="1200" baseline="0">
              <a:solidFill>
                <a:srgbClr val="D0E0E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65000"/>
                  <a:lumOff val="35000"/>
                </a:srgbClr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 w="6350" cap="flat" cmpd="sng" algn="ctr">
          <a:solidFill>
            <a:schemeClr val="tx1">
              <a:tint val="75000"/>
            </a:schemeClr>
          </a:solidFill>
          <a:prstDash val="solid"/>
          <a:round/>
        </a:ln>
        <a:effectLst/>
        <a:sp3d contourW="6350">
          <a:contourClr>
            <a:schemeClr val="tx1">
              <a:tint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'PROJECT TASK'!$B$7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/>
              <a:sp3d/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/>
              <a:sp3d/>
            </c:spPr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/>
              <a:sp3d/>
            </c:spPr>
          </c:dPt>
          <c:dPt>
            <c:idx val="4"/>
            <c:invertIfNegative val="0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/>
              <a:sp3d/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65000"/>
                    <a:lumOff val="35000"/>
                  </a:srgb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'PROJECT TASK'!$A$8:$A$13</c:f>
              <c:strCache>
                <c:ptCount val="5"/>
                <c:pt idx="0">
                  <c:v>Islamabad</c:v>
                </c:pt>
                <c:pt idx="1">
                  <c:v>Karachi</c:v>
                </c:pt>
                <c:pt idx="2">
                  <c:v>Lahore</c:v>
                </c:pt>
                <c:pt idx="3">
                  <c:v>Multan</c:v>
                </c:pt>
                <c:pt idx="4">
                  <c:v>Peshawar</c:v>
                </c:pt>
              </c:strCache>
            </c:strRef>
          </c:cat>
          <c:val>
            <c:numRef>
              <c:f>'PROJECT TASK'!$B$8:$B$13</c:f>
              <c:numCache>
                <c:formatCode>General</c:formatCode>
                <c:ptCount val="5"/>
                <c:pt idx="0">
                  <c:v>97</c:v>
                </c:pt>
                <c:pt idx="1">
                  <c:v>104</c:v>
                </c:pt>
                <c:pt idx="2">
                  <c:v>85</c:v>
                </c:pt>
                <c:pt idx="3">
                  <c:v>110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1B-4E08-9CEE-476348537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5981495"/>
        <c:axId val="817223974"/>
        <c:axId val="0"/>
        <c:extLst/>
      </c:bar3DChart>
      <c:catAx>
        <c:axId val="555981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D9EAD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23974"/>
        <c:crosses val="autoZero"/>
        <c:auto val="1"/>
        <c:lblAlgn val="ctr"/>
        <c:lblOffset val="100"/>
        <c:noMultiLvlLbl val="1"/>
      </c:catAx>
      <c:valAx>
        <c:axId val="81722397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000" b="1" i="0" u="none" strike="noStrike" kern="1200" baseline="0">
                <a:solidFill>
                  <a:srgbClr val="D9EAD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81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rgbClr val="134F5C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7620</xdr:rowOff>
    </xdr:from>
    <xdr:to>
      <xdr:col>7</xdr:col>
      <xdr:colOff>586740</xdr:colOff>
      <xdr:row>26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3983C-4D71-44A0-BFE5-6893578C3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8</xdr:col>
      <xdr:colOff>53334</xdr:colOff>
      <xdr:row>44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0B1698-5C6F-4685-85E5-87B21D2E7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27215</xdr:colOff>
      <xdr:row>6</xdr:row>
      <xdr:rowOff>230037</xdr:rowOff>
    </xdr:from>
    <xdr:ext cx="6787654" cy="3358290"/>
    <xdr:graphicFrame macro="">
      <xdr:nvGraphicFramePr>
        <xdr:cNvPr id="5" name="Chart 4" title="Chart">
          <a:extLst>
            <a:ext uri="{FF2B5EF4-FFF2-40B4-BE49-F238E27FC236}">
              <a16:creationId xmlns:a16="http://schemas.microsoft.com/office/drawing/2014/main" id="{22E2F1CA-BB4B-43EF-A99D-293ED6CCB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57509</xdr:colOff>
      <xdr:row>6</xdr:row>
      <xdr:rowOff>230037</xdr:rowOff>
    </xdr:from>
    <xdr:ext cx="7016151" cy="3344760"/>
    <xdr:graphicFrame macro="">
      <xdr:nvGraphicFramePr>
        <xdr:cNvPr id="9" name="Chart 8" title="Chart">
          <a:extLst>
            <a:ext uri="{FF2B5EF4-FFF2-40B4-BE49-F238E27FC236}">
              <a16:creationId xmlns:a16="http://schemas.microsoft.com/office/drawing/2014/main" id="{9332942D-1BB7-4CBD-AF95-C6488EF12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ANGAN, ASHLEY NICOLE B." refreshedDate="46097.760135069446" createdVersion="8" refreshedVersion="8" minRefreshableVersion="3" recordCount="500" xr:uid="{0E94A85E-5B8E-4EAB-97DC-843DFBD8FA04}">
  <cacheSource type="worksheet">
    <worksheetSource name="Table1"/>
  </cacheSource>
  <cacheFields count="21">
    <cacheField name="CUSTOMER ID" numFmtId="0">
      <sharedItems count="500">
        <s v="C3497"/>
        <s v="C4774"/>
        <s v="C1965"/>
        <s v="C4045"/>
        <s v="C6269"/>
        <s v="C1210"/>
        <s v="C4850"/>
        <s v="C2443"/>
        <s v="C4874"/>
        <s v="C2206"/>
        <s v="C5783"/>
        <s v="C4712"/>
        <s v="C3132"/>
        <s v="C3540"/>
        <s v="C4265"/>
        <s v="C6582"/>
        <s v="C3195"/>
        <s v="C3466"/>
        <s v="C2671"/>
        <s v="C4172"/>
        <s v="C1254"/>
        <s v="C5660"/>
        <s v="C1071"/>
        <s v="C2643"/>
        <s v="C5290"/>
        <s v="C2622"/>
        <s v="C2365"/>
        <s v="C3943"/>
        <s v="C6955"/>
        <s v="C1850"/>
        <s v="C5984"/>
        <s v="C6458"/>
        <s v="C2096"/>
        <s v="C3169"/>
        <s v="C5924"/>
        <s v="C5556"/>
        <s v="C3430"/>
        <s v="C3013"/>
        <s v="C1478"/>
        <s v="C3423"/>
        <s v="C4641"/>
        <s v="C2409"/>
        <s v="C2863"/>
        <s v="C5063"/>
        <s v="C4885"/>
        <s v="C1904"/>
        <s v="C3307"/>
        <s v="C1585"/>
        <s v="C3661"/>
        <s v="C2438"/>
        <s v="C6936"/>
        <s v="C5267"/>
        <s v="C6514"/>
        <s v="C5394"/>
        <s v="C4973"/>
        <s v="C2899"/>
        <s v="C2302"/>
        <s v="C3322"/>
        <s v="C1479"/>
        <s v="C4239"/>
        <s v="C3707"/>
        <s v="C4101"/>
        <s v="C3142"/>
        <s v="C4371"/>
        <s v="C1980"/>
        <s v="C4359"/>
        <s v="C2063"/>
        <s v="C2128"/>
        <s v="C4818"/>
        <s v="C1758"/>
        <s v="C1750"/>
        <s v="C2137"/>
        <s v="C6342"/>
        <s v="C6492"/>
        <s v="C6439"/>
        <s v="C5914"/>
        <s v="C1168"/>
        <s v="C2722"/>
        <s v="C5597"/>
        <s v="C5606"/>
        <s v="C6136"/>
        <s v="C1186"/>
        <s v="C5274"/>
        <s v="C1060"/>
        <s v="C6584"/>
        <s v="C2586"/>
        <s v="C4971"/>
        <s v="C4437"/>
        <s v="C6869"/>
        <s v="C1869"/>
        <s v="C5521"/>
        <s v="C2229"/>
        <s v="C6830"/>
        <s v="C4917"/>
        <s v="C1334"/>
        <s v="C1555"/>
        <s v="C2345"/>
        <s v="C5664"/>
        <s v="C2819"/>
        <s v="C3455"/>
        <s v="C5827"/>
        <s v="C6528"/>
        <s v="C1129"/>
        <s v="C4734"/>
        <s v="C4508"/>
        <s v="C3463"/>
        <s v="C3671"/>
        <s v="C3273"/>
        <s v="C4205"/>
        <s v="C2174"/>
        <s v="C2699"/>
        <s v="C4521"/>
        <s v="C3467"/>
        <s v="C4510"/>
        <s v="C6154"/>
        <s v="C2782"/>
        <s v="C6215"/>
        <s v="C5032"/>
        <s v="C5389"/>
        <s v="C5749"/>
        <s v="C6873"/>
        <s v="C2949"/>
        <s v="C3889"/>
        <s v="C4123"/>
        <s v="C6939"/>
        <s v="C3769"/>
        <s v="C1037"/>
        <s v="C5187"/>
        <s v="C1771"/>
        <s v="C3542"/>
        <s v="C6538"/>
        <s v="C4926"/>
        <s v="C4856"/>
        <s v="C3515"/>
        <s v="C2087"/>
        <s v="C2084"/>
        <s v="C5820"/>
        <s v="C3496"/>
        <s v="C1909"/>
        <s v="C3046"/>
        <s v="C1843"/>
        <s v="C6682"/>
        <s v="C5644"/>
        <s v="C4242"/>
        <s v="C3868"/>
        <s v="C4434"/>
        <s v="C5125"/>
        <s v="C1573"/>
        <s v="C2168"/>
        <s v="C3451"/>
        <s v="C5409"/>
        <s v="C1106"/>
        <s v="C2451"/>
        <s v="C6283"/>
        <s v="C2493"/>
        <s v="C3061"/>
        <s v="C3850"/>
        <s v="C1831"/>
        <s v="C3541"/>
        <s v="C4697"/>
        <s v="C3581"/>
        <s v="C6108"/>
        <s v="C2777"/>
        <s v="C4141"/>
        <s v="C4492"/>
        <s v="C4069"/>
        <s v="C1943"/>
        <s v="C5768"/>
        <s v="C3413"/>
        <s v="C4159"/>
        <s v="C4385"/>
        <s v="C4448"/>
        <s v="C5807"/>
        <s v="C3560"/>
        <s v="C1004"/>
        <s v="C2296"/>
        <s v="C2835"/>
        <s v="C4202"/>
        <s v="C3791"/>
        <s v="C6984"/>
        <s v="C2230"/>
        <s v="C6995"/>
        <s v="C4228"/>
        <s v="C4062"/>
        <s v="C6623"/>
        <s v="C6667"/>
        <s v="C1443"/>
        <s v="C1401"/>
        <s v="C1798"/>
        <s v="C5978"/>
        <s v="C2254"/>
        <s v="C6545"/>
        <s v="C2626"/>
        <s v="C2857"/>
        <s v="C2396"/>
        <s v="C2404"/>
        <s v="C3866"/>
        <s v="C4327"/>
        <s v="C6414"/>
        <s v="C3081"/>
        <s v="C2674"/>
        <s v="C6934"/>
        <s v="C2394"/>
        <s v="C5545"/>
        <s v="C6329"/>
        <s v="C2157"/>
        <s v="C6386"/>
        <s v="C4232"/>
        <s v="C5320"/>
        <s v="C3178"/>
        <s v="C4129"/>
        <s v="C3982"/>
        <s v="C1118"/>
        <s v="C1475"/>
        <s v="C6722"/>
        <s v="C1447"/>
        <s v="C6564"/>
        <s v="C4250"/>
        <s v="C3963"/>
        <s v="C4041"/>
        <s v="C4388"/>
        <s v="C1345"/>
        <s v="C4884"/>
        <s v="C4252"/>
        <s v="C6757"/>
        <s v="C2358"/>
        <s v="C2339"/>
        <s v="C1501"/>
        <s v="C3739"/>
        <s v="C3527"/>
        <s v="C3896"/>
        <s v="C4534"/>
        <s v="C5335"/>
        <s v="C5169"/>
        <s v="C3095"/>
        <s v="C2510"/>
        <s v="C3792"/>
        <s v="C1733"/>
        <s v="C6169"/>
        <s v="C1342"/>
        <s v="C3126"/>
        <s v="C5613"/>
        <s v="C5518"/>
        <s v="C4678"/>
        <s v="C4809"/>
        <s v="C5778"/>
        <s v="C2931"/>
        <s v="C6777"/>
        <s v="C4261"/>
        <s v="C5879"/>
        <s v="C2046"/>
        <s v="C6678"/>
        <s v="C4215"/>
        <s v="C3285"/>
        <s v="C4005"/>
        <s v="C6593"/>
        <s v="C5557"/>
        <s v="C3389"/>
        <s v="C5605"/>
        <s v="C2613"/>
        <s v="C6478"/>
        <s v="C1245"/>
        <s v="C4020"/>
        <s v="C1676"/>
        <s v="C6392"/>
        <s v="C4213"/>
        <s v="C3929"/>
        <s v="C6489"/>
        <s v="C3374"/>
        <s v="C3350"/>
        <s v="C3906"/>
        <s v="C5318"/>
        <s v="C1604"/>
        <s v="C6411"/>
        <s v="C4642"/>
        <s v="C2630"/>
        <s v="C1149"/>
        <s v="C5723"/>
        <s v="C2500"/>
        <s v="C1769"/>
        <s v="C4375"/>
        <s v="C6911"/>
        <s v="C5679"/>
        <s v="C4226"/>
        <s v="C4458"/>
        <s v="C6470"/>
        <s v="C1967"/>
        <s v="C3111"/>
        <s v="C5126"/>
        <s v="C1696"/>
        <s v="C2282"/>
        <s v="C6764"/>
        <s v="C6081"/>
        <s v="C4934"/>
        <s v="C3050"/>
        <s v="C3728"/>
        <s v="C5293"/>
        <s v="C5137"/>
        <s v="C1602"/>
        <s v="C2911"/>
        <s v="C3029"/>
        <s v="C5514"/>
        <s v="C1084"/>
        <s v="C3453"/>
        <s v="C1182"/>
        <s v="C6324"/>
        <s v="C3926"/>
        <s v="C6014"/>
        <s v="C5127"/>
        <s v="C1429"/>
        <s v="C4715"/>
        <s v="C2195"/>
        <s v="C2429"/>
        <s v="C5816"/>
        <s v="C2987"/>
        <s v="C3580"/>
        <s v="C4479"/>
        <s v="C2200"/>
        <s v="C6138"/>
        <s v="C1748"/>
        <s v="C6399"/>
        <s v="C1074"/>
        <s v="C1373"/>
        <s v="C2628"/>
        <s v="C3599"/>
        <s v="C4040"/>
        <s v="C5234"/>
        <s v="C4026"/>
        <s v="C6943"/>
        <s v="C1706"/>
        <s v="C6591"/>
        <s v="C1433"/>
        <s v="C3793"/>
        <s v="C3359"/>
        <s v="C2325"/>
        <s v="C3206"/>
        <s v="C3181"/>
        <s v="C3977"/>
        <s v="C3148"/>
        <s v="C1313"/>
        <s v="C5366"/>
        <s v="C6202"/>
        <s v="C2821"/>
        <s v="C5434"/>
        <s v="C2014"/>
        <s v="C3621"/>
        <s v="C5281"/>
        <s v="C3933"/>
        <s v="C3028"/>
        <s v="C2273"/>
        <s v="C6106"/>
        <s v="C1137"/>
        <s v="C6754"/>
        <s v="C2922"/>
        <s v="C1936"/>
        <s v="C3221"/>
        <s v="C2854"/>
        <s v="C1022"/>
        <s v="C5204"/>
        <s v="C5330"/>
        <s v="C5987"/>
        <s v="C2604"/>
        <s v="C5531"/>
        <s v="C6684"/>
        <s v="C5256"/>
        <s v="C6285"/>
        <s v="C5157"/>
        <s v="C6338"/>
        <s v="C6975"/>
        <s v="C3697"/>
        <s v="C6325"/>
        <s v="C3838"/>
        <s v="C5727"/>
        <s v="C6395"/>
        <s v="C1595"/>
        <s v="C4804"/>
        <s v="C4717"/>
        <s v="C1898"/>
        <s v="C1811"/>
        <s v="C1715"/>
        <s v="C2417"/>
        <s v="C4314"/>
        <s v="C4600"/>
        <s v="C4648"/>
        <s v="C1090"/>
        <s v="C4741"/>
        <s v="C5787"/>
        <s v="C4948"/>
        <s v="C1183"/>
        <s v="C6972"/>
        <s v="C2654"/>
        <s v="C5264"/>
        <s v="C2024"/>
        <s v="C6718"/>
        <s v="C3732"/>
        <s v="C3576"/>
        <s v="C6650"/>
        <s v="C4832"/>
        <s v="C3462"/>
        <s v="C5730"/>
        <s v="C4084"/>
        <s v="C6792"/>
        <s v="C6597"/>
        <s v="C2725"/>
        <s v="C5178"/>
        <s v="C1669"/>
        <s v="C4862"/>
        <s v="C2253"/>
        <s v="C5577"/>
        <s v="C4609"/>
        <s v="C6125"/>
        <s v="C1759"/>
        <s v="C2132"/>
        <s v="C5304"/>
        <s v="C6182"/>
        <s v="C5387"/>
        <s v="C1803"/>
        <s v="C3288"/>
        <s v="C2425"/>
        <s v="C1561"/>
        <s v="C4473"/>
        <s v="C5599"/>
        <s v="C2152"/>
        <s v="C2213"/>
        <s v="C5090"/>
        <s v="C3946"/>
        <s v="C2954"/>
        <s v="C5076"/>
        <s v="C4321"/>
        <s v="C5823"/>
        <s v="C5740"/>
        <s v="C6907"/>
        <s v="C5021"/>
        <s v="C1864"/>
        <s v="C2314"/>
        <s v="C2081"/>
        <s v="C6604"/>
        <s v="C3400"/>
        <s v="C3215"/>
        <s v="C3879"/>
        <s v="C4821"/>
        <s v="C4987"/>
        <s v="C6461"/>
        <s v="C2618"/>
        <s v="C5250"/>
        <s v="C3242"/>
        <s v="C1305"/>
        <s v="C6717"/>
        <s v="C2274"/>
        <s v="C6128"/>
        <s v="C2424"/>
        <s v="C3037"/>
        <s v="C6546"/>
        <s v="C6475"/>
        <s v="C4402"/>
        <s v="C3677"/>
        <s v="C1923"/>
        <s v="C1914"/>
        <s v="C2558"/>
        <s v="C1364"/>
        <s v="C1806"/>
        <s v="C5931"/>
        <s v="C6644"/>
        <s v="C3551"/>
        <s v="C2614"/>
        <s v="C4833"/>
        <s v="C4413"/>
        <s v="C1166"/>
        <s v="C5743"/>
        <s v="C4291"/>
        <s v="C2591"/>
        <s v="C5694"/>
        <s v="C6048"/>
        <s v="C5862"/>
        <s v="C6260"/>
        <s v="C2459"/>
        <s v="C5900"/>
        <s v="C5309"/>
        <s v="C3251"/>
        <s v="C4974"/>
        <s v="C6050"/>
        <s v="C2577"/>
        <s v="C5365"/>
        <s v="C2279"/>
        <s v="C2164"/>
        <s v="C2012"/>
        <s v="C5065"/>
        <s v="C5485"/>
        <s v="C5769"/>
        <s v="C3167"/>
        <s v="C5349"/>
        <s v="C6857"/>
        <s v="C2060"/>
        <s v="C3619"/>
        <s v="C4125"/>
        <s v="C4295"/>
        <s v="C5925"/>
        <s v="C3525"/>
        <s v="C3617"/>
        <s v="C4537"/>
      </sharedItems>
    </cacheField>
    <cacheField name="GENDER" numFmtId="0">
      <sharedItems/>
    </cacheField>
    <cacheField name="AGE" numFmtId="0">
      <sharedItems/>
    </cacheField>
    <cacheField name="CITY" numFmtId="0">
      <sharedItems count="5">
        <s v="Lahore"/>
        <s v="Islamabad"/>
        <s v="Multan"/>
        <s v="Peshawar"/>
        <s v="Karachi"/>
      </sharedItems>
    </cacheField>
    <cacheField name="SIGNUP DATE" numFmtId="14">
      <sharedItems containsSemiMixedTypes="0" containsNonDate="0" containsDate="1" containsString="0" minDate="2023-08-22T00:00:00" maxDate="2025-08-22T00:00:00"/>
    </cacheField>
    <cacheField name="ORDER ID" numFmtId="0">
      <sharedItems count="500">
        <s v="O7497"/>
        <s v="O8774"/>
        <s v="O5965"/>
        <s v="O8045"/>
        <s v="O10269"/>
        <s v="O5210"/>
        <s v="O8850"/>
        <s v="O6443"/>
        <s v="O8874"/>
        <s v="O6206"/>
        <s v="O9783"/>
        <s v="O8712"/>
        <s v="O7132"/>
        <s v="O7540"/>
        <s v="O8265"/>
        <s v="O10582"/>
        <s v="O7195"/>
        <s v="O7466"/>
        <s v="O6671"/>
        <s v="O8172"/>
        <s v="O5254"/>
        <s v="O9660"/>
        <s v="O5071"/>
        <s v="O6643"/>
        <s v="O9290"/>
        <s v="O6622"/>
        <s v="O6365"/>
        <s v="O7943"/>
        <s v="O10955"/>
        <s v="O5850"/>
        <s v="O9984"/>
        <s v="O10458"/>
        <s v="O6096"/>
        <s v="O7169"/>
        <s v="O9924"/>
        <s v="O9556"/>
        <s v="O7430"/>
        <s v="O7013"/>
        <s v="O5478"/>
        <s v="O7423"/>
        <s v="O8641"/>
        <s v="O6409"/>
        <s v="O6863"/>
        <s v="O9063"/>
        <s v="O8885"/>
        <s v="O5904"/>
        <s v="O7307"/>
        <s v="O5585"/>
        <s v="O7661"/>
        <s v="O6438"/>
        <s v="O10936"/>
        <s v="O9267"/>
        <s v="O10514"/>
        <s v="O9394"/>
        <s v="O8973"/>
        <s v="O6899"/>
        <s v="O6302"/>
        <s v="O7322"/>
        <s v="O5479"/>
        <s v="O8239"/>
        <s v="O7707"/>
        <s v="O8101"/>
        <s v="O7142"/>
        <s v="O8371"/>
        <s v="O5980"/>
        <s v="O8359"/>
        <s v="O6063"/>
        <s v="O6128"/>
        <s v="O8818"/>
        <s v="O5758"/>
        <s v="O5750"/>
        <s v="O6137"/>
        <s v="O10342"/>
        <s v="O10492"/>
        <s v="O10439"/>
        <s v="O9914"/>
        <s v="O5168"/>
        <s v="O6722"/>
        <s v="O9597"/>
        <s v="O9606"/>
        <s v="O10136"/>
        <s v="O5186"/>
        <s v="O9274"/>
        <s v="O5060"/>
        <s v="O10584"/>
        <s v="O6586"/>
        <s v="O8971"/>
        <s v="O8437"/>
        <s v="O10869"/>
        <s v="O5869"/>
        <s v="O9521"/>
        <s v="O6229"/>
        <s v="O10830"/>
        <s v="O8917"/>
        <s v="O5334"/>
        <s v="O5555"/>
        <s v="O6345"/>
        <s v="O9664"/>
        <s v="O6819"/>
        <s v="O7455"/>
        <s v="O9827"/>
        <s v="O10528"/>
        <s v="O5129"/>
        <s v="O8734"/>
        <s v="O8508"/>
        <s v="O7463"/>
        <s v="O7671"/>
        <s v="O7273"/>
        <s v="O8205"/>
        <s v="O6174"/>
        <s v="O6699"/>
        <s v="O8521"/>
        <s v="O7467"/>
        <s v="O8510"/>
        <s v="O10154"/>
        <s v="O6782"/>
        <s v="O10215"/>
        <s v="O9032"/>
        <s v="O9389"/>
        <s v="O9749"/>
        <s v="O10873"/>
        <s v="O6949"/>
        <s v="O7889"/>
        <s v="O8123"/>
        <s v="O10939"/>
        <s v="O7769"/>
        <s v="O5037"/>
        <s v="O9187"/>
        <s v="O5771"/>
        <s v="O7542"/>
        <s v="O10538"/>
        <s v="O8926"/>
        <s v="O8856"/>
        <s v="O7515"/>
        <s v="O6087"/>
        <s v="O6084"/>
        <s v="O9820"/>
        <s v="O7496"/>
        <s v="O5909"/>
        <s v="O7046"/>
        <s v="O5843"/>
        <s v="O10682"/>
        <s v="O9644"/>
        <s v="O8242"/>
        <s v="O7868"/>
        <s v="O8434"/>
        <s v="O9125"/>
        <s v="O5573"/>
        <s v="O6168"/>
        <s v="O7451"/>
        <s v="O9409"/>
        <s v="O5106"/>
        <s v="O6451"/>
        <s v="O10283"/>
        <s v="O6493"/>
        <s v="O7061"/>
        <s v="O7850"/>
        <s v="O5831"/>
        <s v="O7541"/>
        <s v="O8697"/>
        <s v="O7581"/>
        <s v="O10108"/>
        <s v="O6777"/>
        <s v="O8141"/>
        <s v="O8492"/>
        <s v="O8069"/>
        <s v="O5943"/>
        <s v="O9768"/>
        <s v="O7413"/>
        <s v="O8159"/>
        <s v="O8385"/>
        <s v="O8448"/>
        <s v="O9807"/>
        <s v="O7560"/>
        <s v="O5004"/>
        <s v="O6296"/>
        <s v="O6835"/>
        <s v="O8202"/>
        <s v="O7791"/>
        <s v="O10984"/>
        <s v="O6230"/>
        <s v="O10995"/>
        <s v="O8228"/>
        <s v="O8062"/>
        <s v="O10623"/>
        <s v="O10667"/>
        <s v="O5443"/>
        <s v="O5401"/>
        <s v="O5798"/>
        <s v="O9978"/>
        <s v="O6254"/>
        <s v="O10545"/>
        <s v="O6626"/>
        <s v="O6857"/>
        <s v="O6396"/>
        <s v="O6404"/>
        <s v="O7866"/>
        <s v="O8327"/>
        <s v="O10414"/>
        <s v="O7081"/>
        <s v="O6674"/>
        <s v="O10934"/>
        <s v="O6394"/>
        <s v="O9545"/>
        <s v="O10329"/>
        <s v="O6157"/>
        <s v="O10386"/>
        <s v="O8232"/>
        <s v="O9320"/>
        <s v="O7178"/>
        <s v="O8129"/>
        <s v="O7982"/>
        <s v="O5118"/>
        <s v="O5475"/>
        <s v="O10722"/>
        <s v="O5447"/>
        <s v="O10564"/>
        <s v="O8250"/>
        <s v="O7963"/>
        <s v="O8041"/>
        <s v="O8388"/>
        <s v="O5345"/>
        <s v="O8884"/>
        <s v="O8252"/>
        <s v="O10757"/>
        <s v="O6358"/>
        <s v="O6339"/>
        <s v="O5501"/>
        <s v="O7739"/>
        <s v="O7527"/>
        <s v="O7896"/>
        <s v="O8534"/>
        <s v="O9335"/>
        <s v="O9169"/>
        <s v="O7095"/>
        <s v="O6510"/>
        <s v="O7792"/>
        <s v="O5733"/>
        <s v="O10169"/>
        <s v="O5342"/>
        <s v="O7126"/>
        <s v="O9613"/>
        <s v="O9518"/>
        <s v="O8678"/>
        <s v="O8809"/>
        <s v="O9778"/>
        <s v="O6931"/>
        <s v="O10777"/>
        <s v="O8261"/>
        <s v="O9879"/>
        <s v="O6046"/>
        <s v="O10678"/>
        <s v="O8215"/>
        <s v="O7285"/>
        <s v="O8005"/>
        <s v="O10593"/>
        <s v="O9557"/>
        <s v="O7389"/>
        <s v="O9605"/>
        <s v="O6613"/>
        <s v="O10478"/>
        <s v="O5245"/>
        <s v="O8020"/>
        <s v="O5676"/>
        <s v="O10392"/>
        <s v="O8213"/>
        <s v="O7929"/>
        <s v="O10489"/>
        <s v="O7374"/>
        <s v="O7350"/>
        <s v="O7906"/>
        <s v="O9318"/>
        <s v="O5604"/>
        <s v="O10411"/>
        <s v="O8642"/>
        <s v="O6630"/>
        <s v="O5149"/>
        <s v="O9723"/>
        <s v="O6500"/>
        <s v="O5769"/>
        <s v="O8375"/>
        <s v="O10911"/>
        <s v="O9679"/>
        <s v="O8226"/>
        <s v="O8458"/>
        <s v="O10470"/>
        <s v="O5967"/>
        <s v="O7111"/>
        <s v="O9126"/>
        <s v="O5696"/>
        <s v="O6282"/>
        <s v="O10764"/>
        <s v="O10081"/>
        <s v="O8934"/>
        <s v="O7050"/>
        <s v="O7728"/>
        <s v="O9293"/>
        <s v="O9137"/>
        <s v="O5602"/>
        <s v="O6911"/>
        <s v="O7029"/>
        <s v="O9514"/>
        <s v="O5084"/>
        <s v="O7453"/>
        <s v="O5182"/>
        <s v="O10324"/>
        <s v="O7926"/>
        <s v="O10014"/>
        <s v="O9127"/>
        <s v="O5429"/>
        <s v="O8715"/>
        <s v="O6195"/>
        <s v="O6429"/>
        <s v="O9816"/>
        <s v="O6987"/>
        <s v="O7580"/>
        <s v="O8479"/>
        <s v="O6200"/>
        <s v="O10138"/>
        <s v="O5748"/>
        <s v="O10399"/>
        <s v="O5074"/>
        <s v="O5373"/>
        <s v="O6628"/>
        <s v="O7599"/>
        <s v="O8040"/>
        <s v="O9234"/>
        <s v="O8026"/>
        <s v="O10943"/>
        <s v="O5706"/>
        <s v="O10591"/>
        <s v="O5433"/>
        <s v="O7793"/>
        <s v="O7359"/>
        <s v="O6325"/>
        <s v="O7206"/>
        <s v="O7181"/>
        <s v="O7977"/>
        <s v="O7148"/>
        <s v="O5313"/>
        <s v="O9366"/>
        <s v="O10202"/>
        <s v="O6821"/>
        <s v="O9434"/>
        <s v="O6014"/>
        <s v="O7621"/>
        <s v="O9281"/>
        <s v="O7933"/>
        <s v="O7028"/>
        <s v="O6273"/>
        <s v="O10106"/>
        <s v="O5137"/>
        <s v="O10754"/>
        <s v="O6922"/>
        <s v="O5936"/>
        <s v="O7221"/>
        <s v="O6854"/>
        <s v="O5022"/>
        <s v="O9204"/>
        <s v="O9330"/>
        <s v="O9987"/>
        <s v="O6604"/>
        <s v="O9531"/>
        <s v="O10684"/>
        <s v="O9256"/>
        <s v="O10285"/>
        <s v="O9157"/>
        <s v="O10338"/>
        <s v="O10975"/>
        <s v="O7697"/>
        <s v="O10325"/>
        <s v="O7838"/>
        <s v="O9727"/>
        <s v="O10395"/>
        <s v="O5595"/>
        <s v="O8804"/>
        <s v="O8717"/>
        <s v="O5898"/>
        <s v="O5811"/>
        <s v="O5715"/>
        <s v="O6417"/>
        <s v="O8314"/>
        <s v="O8600"/>
        <s v="O8648"/>
        <s v="O5090"/>
        <s v="O8741"/>
        <s v="O9787"/>
        <s v="O8948"/>
        <s v="O5183"/>
        <s v="O10972"/>
        <s v="O6654"/>
        <s v="O9264"/>
        <s v="O6024"/>
        <s v="O10718"/>
        <s v="O7732"/>
        <s v="O7576"/>
        <s v="O10650"/>
        <s v="O8832"/>
        <s v="O7462"/>
        <s v="O9730"/>
        <s v="O8084"/>
        <s v="O10792"/>
        <s v="O10597"/>
        <s v="O6725"/>
        <s v="O9178"/>
        <s v="O5669"/>
        <s v="O8862"/>
        <s v="O6253"/>
        <s v="O9577"/>
        <s v="O8609"/>
        <s v="O10125"/>
        <s v="O5759"/>
        <s v="O6132"/>
        <s v="O9304"/>
        <s v="O10182"/>
        <s v="O9387"/>
        <s v="O5803"/>
        <s v="O7288"/>
        <s v="O6425"/>
        <s v="O5561"/>
        <s v="O8473"/>
        <s v="O9599"/>
        <s v="O6152"/>
        <s v="O6213"/>
        <s v="O9090"/>
        <s v="O7946"/>
        <s v="O6954"/>
        <s v="O9076"/>
        <s v="O8321"/>
        <s v="O9823"/>
        <s v="O9740"/>
        <s v="O10907"/>
        <s v="O9021"/>
        <s v="O5864"/>
        <s v="O6314"/>
        <s v="O6081"/>
        <s v="O10604"/>
        <s v="O7400"/>
        <s v="O7215"/>
        <s v="O7879"/>
        <s v="O8821"/>
        <s v="O8987"/>
        <s v="O10461"/>
        <s v="O6618"/>
        <s v="O9250"/>
        <s v="O7242"/>
        <s v="O5305"/>
        <s v="O10717"/>
        <s v="O6274"/>
        <s v="O10128"/>
        <s v="O6424"/>
        <s v="O7037"/>
        <s v="O10546"/>
        <s v="O10475"/>
        <s v="O8402"/>
        <s v="O7677"/>
        <s v="O5923"/>
        <s v="O5914"/>
        <s v="O6558"/>
        <s v="O5364"/>
        <s v="O5806"/>
        <s v="O9931"/>
        <s v="O10644"/>
        <s v="O7551"/>
        <s v="O6614"/>
        <s v="O8833"/>
        <s v="O8413"/>
        <s v="O5166"/>
        <s v="O9743"/>
        <s v="O8291"/>
        <s v="O6591"/>
        <s v="O9694"/>
        <s v="O10048"/>
        <s v="O9862"/>
        <s v="O10260"/>
        <s v="O6459"/>
        <s v="O9900"/>
        <s v="O9309"/>
        <s v="O7251"/>
        <s v="O8974"/>
        <s v="O10050"/>
        <s v="O6577"/>
        <s v="O9365"/>
        <s v="O6279"/>
        <s v="O6164"/>
        <s v="O6012"/>
        <s v="O9065"/>
        <s v="O9485"/>
        <s v="O9769"/>
        <s v="O7167"/>
        <s v="O9349"/>
        <s v="O10857"/>
        <s v="O6060"/>
        <s v="O7619"/>
        <s v="O8125"/>
        <s v="O8295"/>
        <s v="O9925"/>
        <s v="O7525"/>
        <s v="O7617"/>
        <s v="O8537"/>
      </sharedItems>
    </cacheField>
    <cacheField name="ORDER DATE" numFmtId="14">
      <sharedItems containsSemiMixedTypes="0" containsNonDate="0" containsDate="1" containsString="0" minDate="2024-04-22T00:00:00" maxDate="2024-06-26T00:00:00"/>
    </cacheField>
    <cacheField name="RESTAURANT NAME" numFmtId="0">
      <sharedItems count="5">
        <s v="McDonald's"/>
        <s v="Burger King"/>
        <s v="Pizza Hut"/>
        <s v="Subway"/>
        <s v="KFC"/>
      </sharedItems>
    </cacheField>
    <cacheField name="DISH NAME" numFmtId="0">
      <sharedItems/>
    </cacheField>
    <cacheField name="CATEGORY" numFmtId="0">
      <sharedItems count="5">
        <s v="Chinese"/>
        <s v="Italian"/>
        <s v="Fast Food"/>
        <s v="Dessert"/>
        <s v="Continental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106.16" maxValue="1498.75"/>
    </cacheField>
    <cacheField name="PAYMENT METHOD" numFmtId="0">
      <sharedItems count="3">
        <s v="Wallet"/>
        <s v="Cash"/>
        <s v="Card"/>
      </sharedItems>
    </cacheField>
    <cacheField name="ORDER FREQUENCY" numFmtId="0">
      <sharedItems containsSemiMixedTypes="0" containsString="0" containsNumber="1" containsInteger="1" minValue="1" maxValue="50"/>
    </cacheField>
    <cacheField name="LAST ORDER DATE" numFmtId="14">
      <sharedItems containsSemiMixedTypes="0" containsNonDate="0" containsDate="1" containsString="0" minDate="2024-08-21T00:00:00" maxDate="2025-08-22T00:00:00"/>
    </cacheField>
    <cacheField name="LOYALTY POINTS" numFmtId="0">
      <sharedItems containsSemiMixedTypes="0" containsString="0" containsNumber="1" containsInteger="1" minValue="2" maxValue="500"/>
    </cacheField>
    <cacheField name="CHURNED" numFmtId="0">
      <sharedItems/>
    </cacheField>
    <cacheField name="RATING" numFmtId="0">
      <sharedItems containsString="0" containsBlank="1" containsNumber="1" containsInteger="1" minValue="1" maxValue="5"/>
    </cacheField>
    <cacheField name="RATING DATE" numFmtId="14">
      <sharedItems containsSemiMixedTypes="0" containsNonDate="0" containsDate="1" containsString="0" minDate="2024-08-21T00:00:00" maxDate="2025-08-22T00:00:00"/>
    </cacheField>
    <cacheField name="DELIVERY STATUS" numFmtId="0">
      <sharedItems/>
    </cacheField>
    <cacheField name="REVENUE" numFmtId="0">
      <sharedItems containsSemiMixedTypes="0" containsString="0" containsNumber="1" minValue="125.81" maxValue="749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Other"/>
    <s v="Senior"/>
    <x v="0"/>
    <d v="2024-06-18T00:00:00"/>
    <x v="0"/>
    <d v="2024-04-22T00:00:00"/>
    <x v="0"/>
    <s v="Sandwich"/>
    <x v="0"/>
    <n v="4"/>
    <n v="222.31"/>
    <x v="0"/>
    <n v="4"/>
    <d v="2025-05-11T00:00:00"/>
    <n v="450"/>
    <s v="Inactive"/>
    <n v="4"/>
    <d v="2025-06-08T00:00:00"/>
    <s v="Delivered"/>
    <n v="889.24"/>
  </r>
  <r>
    <x v="1"/>
    <s v="Other"/>
    <s v="Adult"/>
    <x v="1"/>
    <d v="2023-11-29T00:00:00"/>
    <x v="1"/>
    <d v="2024-04-23T00:00:00"/>
    <x v="1"/>
    <s v="Fries"/>
    <x v="1"/>
    <n v="3"/>
    <n v="509.02"/>
    <x v="1"/>
    <n v="46"/>
    <d v="2024-11-25T00:00:00"/>
    <n v="193"/>
    <s v="Active"/>
    <m/>
    <d v="2025-04-04T00:00:00"/>
    <s v="Cancelled"/>
    <n v="1527.06"/>
  </r>
  <r>
    <x v="2"/>
    <s v="Female"/>
    <s v="Teenager"/>
    <x v="0"/>
    <d v="2024-12-15T00:00:00"/>
    <x v="2"/>
    <d v="2024-04-23T00:00:00"/>
    <x v="2"/>
    <s v="Fries"/>
    <x v="1"/>
    <n v="2"/>
    <n v="321.95999999999998"/>
    <x v="0"/>
    <n v="25"/>
    <d v="2025-07-09T00:00:00"/>
    <n v="222"/>
    <s v="Inactive"/>
    <m/>
    <d v="2025-06-07T00:00:00"/>
    <s v="Cancelled"/>
    <n v="643.91999999999996"/>
  </r>
  <r>
    <x v="3"/>
    <s v="Other"/>
    <s v="Teenager"/>
    <x v="2"/>
    <d v="2025-02-04T00:00:00"/>
    <x v="3"/>
    <d v="2024-04-23T00:00:00"/>
    <x v="2"/>
    <s v="Fries"/>
    <x v="2"/>
    <n v="4"/>
    <n v="889.71"/>
    <x v="1"/>
    <n v="13"/>
    <d v="2025-02-06T00:00:00"/>
    <n v="126"/>
    <s v="Active"/>
    <n v="4"/>
    <d v="2024-12-11T00:00:00"/>
    <s v="Delayed"/>
    <n v="3558.84"/>
  </r>
  <r>
    <x v="4"/>
    <s v="Female"/>
    <s v="Adult"/>
    <x v="1"/>
    <d v="2024-10-30T00:00:00"/>
    <x v="4"/>
    <d v="2024-04-23T00:00:00"/>
    <x v="2"/>
    <s v="Pasta"/>
    <x v="2"/>
    <n v="4"/>
    <n v="163.58000000000001"/>
    <x v="2"/>
    <n v="6"/>
    <d v="2025-07-20T00:00:00"/>
    <n v="272"/>
    <s v="Active"/>
    <m/>
    <d v="2025-03-05T00:00:00"/>
    <s v="Cancelled"/>
    <n v="654.32000000000005"/>
  </r>
  <r>
    <x v="5"/>
    <s v="Other"/>
    <s v="Adult"/>
    <x v="2"/>
    <d v="2024-07-09T00:00:00"/>
    <x v="5"/>
    <d v="2024-04-23T00:00:00"/>
    <x v="0"/>
    <s v="Sandwich"/>
    <x v="3"/>
    <n v="3"/>
    <n v="1259.72"/>
    <x v="2"/>
    <n v="39"/>
    <d v="2025-04-12T00:00:00"/>
    <n v="59"/>
    <s v="Inactive"/>
    <n v="1"/>
    <d v="2025-07-04T00:00:00"/>
    <s v="Delayed"/>
    <n v="3779.16"/>
  </r>
  <r>
    <x v="6"/>
    <s v="Other"/>
    <s v="Teenager"/>
    <x v="1"/>
    <d v="2025-07-14T00:00:00"/>
    <x v="6"/>
    <d v="2024-04-23T00:00:00"/>
    <x v="3"/>
    <s v="Sandwich"/>
    <x v="1"/>
    <n v="1"/>
    <n v="452.54"/>
    <x v="1"/>
    <n v="27"/>
    <d v="2025-06-30T00:00:00"/>
    <n v="467"/>
    <s v="Inactive"/>
    <n v="5"/>
    <d v="2024-11-02T00:00:00"/>
    <s v="Delayed"/>
    <n v="452.54"/>
  </r>
  <r>
    <x v="7"/>
    <s v="Male"/>
    <s v="Adult"/>
    <x v="1"/>
    <d v="2023-08-31T00:00:00"/>
    <x v="7"/>
    <d v="2024-04-23T00:00:00"/>
    <x v="2"/>
    <s v="Sandwich"/>
    <x v="4"/>
    <n v="3"/>
    <n v="1399.51"/>
    <x v="2"/>
    <n v="6"/>
    <d v="2025-02-24T00:00:00"/>
    <n v="4"/>
    <s v="Inactive"/>
    <m/>
    <d v="2024-08-31T00:00:00"/>
    <s v="Cancelled"/>
    <n v="4198.53"/>
  </r>
  <r>
    <x v="8"/>
    <s v="Female"/>
    <s v="Teenager"/>
    <x v="0"/>
    <d v="2024-04-10T00:00:00"/>
    <x v="8"/>
    <d v="2024-04-23T00:00:00"/>
    <x v="2"/>
    <s v="Burger"/>
    <x v="4"/>
    <n v="1"/>
    <n v="501.59"/>
    <x v="2"/>
    <n v="4"/>
    <d v="2025-02-10T00:00:00"/>
    <n v="139"/>
    <s v="Inactive"/>
    <n v="2"/>
    <d v="2024-09-14T00:00:00"/>
    <s v="Delayed"/>
    <n v="501.59"/>
  </r>
  <r>
    <x v="9"/>
    <s v="Other"/>
    <s v="Senior"/>
    <x v="3"/>
    <d v="2024-03-21T00:00:00"/>
    <x v="9"/>
    <d v="2024-04-23T00:00:00"/>
    <x v="1"/>
    <s v="Pizza"/>
    <x v="4"/>
    <n v="5"/>
    <n v="783.53"/>
    <x v="2"/>
    <n v="11"/>
    <d v="2025-03-02T00:00:00"/>
    <n v="276"/>
    <s v="Active"/>
    <n v="2"/>
    <d v="2025-05-12T00:00:00"/>
    <s v="Delivered"/>
    <n v="3917.6499999999996"/>
  </r>
  <r>
    <x v="10"/>
    <s v="Female"/>
    <s v="Teenager"/>
    <x v="2"/>
    <d v="2025-06-29T00:00:00"/>
    <x v="10"/>
    <d v="2024-04-23T00:00:00"/>
    <x v="2"/>
    <s v="Pasta"/>
    <x v="4"/>
    <n v="4"/>
    <n v="364.24"/>
    <x v="2"/>
    <n v="25"/>
    <d v="2025-02-07T00:00:00"/>
    <n v="220"/>
    <s v="Inactive"/>
    <n v="2"/>
    <d v="2025-08-11T00:00:00"/>
    <s v="Delayed"/>
    <n v="1456.96"/>
  </r>
  <r>
    <x v="11"/>
    <s v="Male"/>
    <s v="Adult"/>
    <x v="3"/>
    <d v="2023-11-06T00:00:00"/>
    <x v="11"/>
    <d v="2024-04-23T00:00:00"/>
    <x v="1"/>
    <s v="Pasta"/>
    <x v="0"/>
    <n v="4"/>
    <n v="1251.7"/>
    <x v="2"/>
    <n v="22"/>
    <d v="2025-07-19T00:00:00"/>
    <n v="218"/>
    <s v="Inactive"/>
    <n v="2"/>
    <d v="2025-06-17T00:00:00"/>
    <s v="Delayed"/>
    <n v="5006.8"/>
  </r>
  <r>
    <x v="12"/>
    <s v="Male"/>
    <s v="Adult"/>
    <x v="1"/>
    <d v="2025-02-14T00:00:00"/>
    <x v="12"/>
    <d v="2024-04-24T00:00:00"/>
    <x v="4"/>
    <s v="Burger"/>
    <x v="2"/>
    <n v="4"/>
    <n v="417.39"/>
    <x v="0"/>
    <n v="37"/>
    <d v="2024-10-08T00:00:00"/>
    <n v="180"/>
    <s v="Active"/>
    <n v="3"/>
    <d v="2024-12-07T00:00:00"/>
    <s v="Delivered"/>
    <n v="1669.56"/>
  </r>
  <r>
    <x v="13"/>
    <s v="Male"/>
    <s v="Senior"/>
    <x v="1"/>
    <d v="2023-11-24T00:00:00"/>
    <x v="13"/>
    <d v="2024-04-24T00:00:00"/>
    <x v="4"/>
    <s v="Pasta"/>
    <x v="2"/>
    <n v="1"/>
    <n v="153.81"/>
    <x v="2"/>
    <n v="17"/>
    <d v="2025-02-18T00:00:00"/>
    <n v="106"/>
    <s v="Active"/>
    <n v="3"/>
    <d v="2024-12-27T00:00:00"/>
    <s v="Delayed"/>
    <n v="153.81"/>
  </r>
  <r>
    <x v="14"/>
    <s v="Other"/>
    <s v="Adult"/>
    <x v="2"/>
    <d v="2024-03-17T00:00:00"/>
    <x v="14"/>
    <d v="2024-04-24T00:00:00"/>
    <x v="1"/>
    <s v="Fries"/>
    <x v="2"/>
    <n v="3"/>
    <n v="606.24"/>
    <x v="1"/>
    <n v="10"/>
    <d v="2024-11-14T00:00:00"/>
    <n v="125"/>
    <s v="Inactive"/>
    <n v="2"/>
    <d v="2025-04-24T00:00:00"/>
    <s v="Delayed"/>
    <n v="1818.72"/>
  </r>
  <r>
    <x v="15"/>
    <s v="Female"/>
    <s v="Teenager"/>
    <x v="1"/>
    <d v="2023-10-12T00:00:00"/>
    <x v="15"/>
    <d v="2024-04-24T00:00:00"/>
    <x v="1"/>
    <s v="Burger"/>
    <x v="3"/>
    <n v="4"/>
    <n v="1220.3800000000001"/>
    <x v="1"/>
    <n v="42"/>
    <d v="2025-06-25T00:00:00"/>
    <n v="409"/>
    <s v="Active"/>
    <m/>
    <d v="2024-09-11T00:00:00"/>
    <s v="Cancelled"/>
    <n v="4881.5200000000004"/>
  </r>
  <r>
    <x v="16"/>
    <s v="Other"/>
    <s v="Adult"/>
    <x v="4"/>
    <d v="2025-06-30T00:00:00"/>
    <x v="16"/>
    <d v="2024-04-24T00:00:00"/>
    <x v="1"/>
    <s v="Pizza"/>
    <x v="2"/>
    <n v="5"/>
    <n v="1300.96"/>
    <x v="2"/>
    <n v="8"/>
    <d v="2025-02-10T00:00:00"/>
    <n v="269"/>
    <s v="Inactive"/>
    <m/>
    <d v="2024-10-25T00:00:00"/>
    <s v="Cancelled"/>
    <n v="6504.8"/>
  </r>
  <r>
    <x v="17"/>
    <s v="Male"/>
    <s v="Senior"/>
    <x v="4"/>
    <d v="2023-11-11T00:00:00"/>
    <x v="17"/>
    <d v="2024-04-24T00:00:00"/>
    <x v="0"/>
    <s v="Pasta"/>
    <x v="1"/>
    <n v="4"/>
    <n v="476.38"/>
    <x v="0"/>
    <n v="27"/>
    <d v="2024-11-28T00:00:00"/>
    <n v="222"/>
    <s v="Inactive"/>
    <m/>
    <d v="2025-05-08T00:00:00"/>
    <s v="Cancelled"/>
    <n v="1905.52"/>
  </r>
  <r>
    <x v="18"/>
    <s v="Female"/>
    <s v="Senior"/>
    <x v="2"/>
    <d v="2024-11-07T00:00:00"/>
    <x v="18"/>
    <d v="2024-04-24T00:00:00"/>
    <x v="0"/>
    <s v="Sandwich"/>
    <x v="0"/>
    <n v="3"/>
    <n v="644.27"/>
    <x v="1"/>
    <n v="17"/>
    <d v="2024-12-12T00:00:00"/>
    <n v="265"/>
    <s v="Inactive"/>
    <n v="2"/>
    <d v="2025-06-13T00:00:00"/>
    <s v="Delivered"/>
    <n v="1932.81"/>
  </r>
  <r>
    <x v="19"/>
    <s v="Female"/>
    <s v="Teenager"/>
    <x v="4"/>
    <d v="2024-08-11T00:00:00"/>
    <x v="19"/>
    <d v="2024-04-24T00:00:00"/>
    <x v="0"/>
    <s v="Sandwich"/>
    <x v="4"/>
    <n v="1"/>
    <n v="125.81"/>
    <x v="2"/>
    <n v="47"/>
    <d v="2025-04-08T00:00:00"/>
    <n v="311"/>
    <s v="Active"/>
    <m/>
    <d v="2024-12-09T00:00:00"/>
    <s v="Cancelled"/>
    <n v="125.81"/>
  </r>
  <r>
    <x v="20"/>
    <s v="Other"/>
    <s v="Adult"/>
    <x v="1"/>
    <d v="2023-12-26T00:00:00"/>
    <x v="20"/>
    <d v="2024-04-24T00:00:00"/>
    <x v="2"/>
    <s v="Sandwich"/>
    <x v="4"/>
    <n v="1"/>
    <n v="1492.01"/>
    <x v="1"/>
    <n v="28"/>
    <d v="2025-03-09T00:00:00"/>
    <n v="433"/>
    <s v="Active"/>
    <m/>
    <d v="2024-09-24T00:00:00"/>
    <s v="Cancelled"/>
    <n v="1492.01"/>
  </r>
  <r>
    <x v="21"/>
    <s v="Male"/>
    <s v="Adult"/>
    <x v="4"/>
    <d v="2025-05-07T00:00:00"/>
    <x v="21"/>
    <d v="2024-04-24T00:00:00"/>
    <x v="1"/>
    <s v="Pasta"/>
    <x v="1"/>
    <n v="4"/>
    <n v="1498.16"/>
    <x v="1"/>
    <n v="42"/>
    <d v="2024-12-12T00:00:00"/>
    <n v="446"/>
    <s v="Active"/>
    <n v="4"/>
    <d v="2024-11-10T00:00:00"/>
    <s v="Delivered"/>
    <n v="5992.64"/>
  </r>
  <r>
    <x v="22"/>
    <s v="Male"/>
    <s v="Senior"/>
    <x v="3"/>
    <d v="2024-04-02T00:00:00"/>
    <x v="22"/>
    <d v="2024-04-24T00:00:00"/>
    <x v="2"/>
    <s v="Pizza"/>
    <x v="1"/>
    <n v="4"/>
    <n v="793.19"/>
    <x v="0"/>
    <n v="32"/>
    <d v="2025-02-05T00:00:00"/>
    <n v="133"/>
    <s v="Active"/>
    <n v="1"/>
    <d v="2024-08-24T00:00:00"/>
    <s v="Delivered"/>
    <n v="3172.76"/>
  </r>
  <r>
    <x v="23"/>
    <s v="Male"/>
    <s v="Senior"/>
    <x v="1"/>
    <d v="2024-10-31T00:00:00"/>
    <x v="23"/>
    <d v="2024-04-24T00:00:00"/>
    <x v="2"/>
    <s v="Sandwich"/>
    <x v="4"/>
    <n v="5"/>
    <n v="322.77"/>
    <x v="2"/>
    <n v="48"/>
    <d v="2025-01-03T00:00:00"/>
    <n v="405"/>
    <s v="Inactive"/>
    <n v="1"/>
    <d v="2024-12-27T00:00:00"/>
    <s v="Delayed"/>
    <n v="1613.85"/>
  </r>
  <r>
    <x v="24"/>
    <s v="Other"/>
    <s v="Senior"/>
    <x v="4"/>
    <d v="2024-07-24T00:00:00"/>
    <x v="24"/>
    <d v="2024-04-25T00:00:00"/>
    <x v="0"/>
    <s v="Fries"/>
    <x v="0"/>
    <n v="2"/>
    <n v="1255.3399999999999"/>
    <x v="2"/>
    <n v="42"/>
    <d v="2024-11-24T00:00:00"/>
    <n v="102"/>
    <s v="Inactive"/>
    <m/>
    <d v="2025-05-07T00:00:00"/>
    <s v="Cancelled"/>
    <n v="2510.6799999999998"/>
  </r>
  <r>
    <x v="25"/>
    <s v="Male"/>
    <s v="Teenager"/>
    <x v="4"/>
    <d v="2023-11-16T00:00:00"/>
    <x v="25"/>
    <d v="2024-04-25T00:00:00"/>
    <x v="1"/>
    <s v="Fries"/>
    <x v="0"/>
    <n v="2"/>
    <n v="1048.17"/>
    <x v="0"/>
    <n v="9"/>
    <d v="2025-04-05T00:00:00"/>
    <n v="407"/>
    <s v="Active"/>
    <n v="3"/>
    <d v="2024-11-28T00:00:00"/>
    <s v="Delivered"/>
    <n v="2096.34"/>
  </r>
  <r>
    <x v="26"/>
    <s v="Other"/>
    <s v="Teenager"/>
    <x v="2"/>
    <d v="2024-07-02T00:00:00"/>
    <x v="26"/>
    <d v="2024-04-25T00:00:00"/>
    <x v="3"/>
    <s v="Pasta"/>
    <x v="0"/>
    <n v="5"/>
    <n v="1315.23"/>
    <x v="2"/>
    <n v="21"/>
    <d v="2025-03-26T00:00:00"/>
    <n v="155"/>
    <s v="Active"/>
    <n v="1"/>
    <d v="2024-12-24T00:00:00"/>
    <s v="Delivered"/>
    <n v="6576.15"/>
  </r>
  <r>
    <x v="27"/>
    <s v="Female"/>
    <s v="Teenager"/>
    <x v="2"/>
    <d v="2025-06-29T00:00:00"/>
    <x v="27"/>
    <d v="2024-04-25T00:00:00"/>
    <x v="0"/>
    <s v="Pizza"/>
    <x v="1"/>
    <n v="1"/>
    <n v="624.54999999999995"/>
    <x v="0"/>
    <n v="13"/>
    <d v="2025-01-19T00:00:00"/>
    <n v="214"/>
    <s v="Active"/>
    <m/>
    <d v="2024-10-26T00:00:00"/>
    <s v="Cancelled"/>
    <n v="624.54999999999995"/>
  </r>
  <r>
    <x v="28"/>
    <s v="Other"/>
    <s v="Teenager"/>
    <x v="4"/>
    <d v="2025-05-31T00:00:00"/>
    <x v="28"/>
    <d v="2024-04-25T00:00:00"/>
    <x v="3"/>
    <s v="Pizza"/>
    <x v="0"/>
    <n v="2"/>
    <n v="751.25"/>
    <x v="2"/>
    <n v="1"/>
    <d v="2025-07-22T00:00:00"/>
    <n v="77"/>
    <s v="Inactive"/>
    <n v="5"/>
    <d v="2024-11-28T00:00:00"/>
    <s v="Delivered"/>
    <n v="1502.5"/>
  </r>
  <r>
    <x v="29"/>
    <s v="Male"/>
    <s v="Teenager"/>
    <x v="4"/>
    <d v="2023-09-29T00:00:00"/>
    <x v="29"/>
    <d v="2024-04-25T00:00:00"/>
    <x v="2"/>
    <s v="Fries"/>
    <x v="4"/>
    <n v="3"/>
    <n v="726.99"/>
    <x v="0"/>
    <n v="28"/>
    <d v="2024-09-09T00:00:00"/>
    <n v="192"/>
    <s v="Inactive"/>
    <n v="3"/>
    <d v="2024-11-09T00:00:00"/>
    <s v="Delivered"/>
    <n v="2180.9700000000003"/>
  </r>
  <r>
    <x v="30"/>
    <s v="Male"/>
    <s v="Senior"/>
    <x v="1"/>
    <d v="2024-11-05T00:00:00"/>
    <x v="30"/>
    <d v="2024-04-25T00:00:00"/>
    <x v="1"/>
    <s v="Fries"/>
    <x v="1"/>
    <n v="1"/>
    <n v="654.82000000000005"/>
    <x v="1"/>
    <n v="47"/>
    <d v="2025-06-21T00:00:00"/>
    <n v="177"/>
    <s v="Active"/>
    <n v="1"/>
    <d v="2024-10-03T00:00:00"/>
    <s v="Delayed"/>
    <n v="654.82000000000005"/>
  </r>
  <r>
    <x v="31"/>
    <s v="Male"/>
    <s v="Adult"/>
    <x v="3"/>
    <d v="2024-07-14T00:00:00"/>
    <x v="31"/>
    <d v="2024-04-25T00:00:00"/>
    <x v="2"/>
    <s v="Pasta"/>
    <x v="3"/>
    <n v="3"/>
    <n v="341.78"/>
    <x v="1"/>
    <n v="19"/>
    <d v="2024-11-09T00:00:00"/>
    <n v="3"/>
    <s v="Inactive"/>
    <n v="2"/>
    <d v="2025-05-16T00:00:00"/>
    <s v="Delayed"/>
    <n v="1025.3399999999999"/>
  </r>
  <r>
    <x v="32"/>
    <s v="Female"/>
    <s v="Teenager"/>
    <x v="3"/>
    <d v="2024-10-08T00:00:00"/>
    <x v="32"/>
    <d v="2024-04-25T00:00:00"/>
    <x v="2"/>
    <s v="Sandwich"/>
    <x v="1"/>
    <n v="2"/>
    <n v="1226.31"/>
    <x v="2"/>
    <n v="13"/>
    <d v="2024-11-09T00:00:00"/>
    <n v="272"/>
    <s v="Inactive"/>
    <n v="4"/>
    <d v="2025-07-13T00:00:00"/>
    <s v="Delayed"/>
    <n v="2452.62"/>
  </r>
  <r>
    <x v="33"/>
    <s v="Female"/>
    <s v="Adult"/>
    <x v="3"/>
    <d v="2024-03-16T00:00:00"/>
    <x v="33"/>
    <d v="2024-04-25T00:00:00"/>
    <x v="2"/>
    <s v="Burger"/>
    <x v="0"/>
    <n v="5"/>
    <n v="466.95"/>
    <x v="2"/>
    <n v="15"/>
    <d v="2025-06-10T00:00:00"/>
    <n v="436"/>
    <s v="Inactive"/>
    <n v="3"/>
    <d v="2025-06-14T00:00:00"/>
    <s v="Delayed"/>
    <n v="2334.75"/>
  </r>
  <r>
    <x v="34"/>
    <s v="Female"/>
    <s v="Adult"/>
    <x v="4"/>
    <d v="2024-04-01T00:00:00"/>
    <x v="34"/>
    <d v="2024-04-26T00:00:00"/>
    <x v="0"/>
    <s v="Fries"/>
    <x v="2"/>
    <n v="1"/>
    <n v="1098.54"/>
    <x v="0"/>
    <n v="13"/>
    <d v="2025-06-05T00:00:00"/>
    <n v="15"/>
    <s v="Active"/>
    <n v="4"/>
    <d v="2024-12-17T00:00:00"/>
    <s v="Delayed"/>
    <n v="1098.54"/>
  </r>
  <r>
    <x v="35"/>
    <s v="Female"/>
    <s v="Adult"/>
    <x v="0"/>
    <d v="2024-04-08T00:00:00"/>
    <x v="35"/>
    <d v="2024-04-26T00:00:00"/>
    <x v="4"/>
    <s v="Pizza"/>
    <x v="1"/>
    <n v="4"/>
    <n v="285.58999999999997"/>
    <x v="1"/>
    <n v="45"/>
    <d v="2024-12-24T00:00:00"/>
    <n v="263"/>
    <s v="Inactive"/>
    <n v="4"/>
    <d v="2024-09-02T00:00:00"/>
    <s v="Delayed"/>
    <n v="1142.3599999999999"/>
  </r>
  <r>
    <x v="36"/>
    <s v="Other"/>
    <s v="Teenager"/>
    <x v="0"/>
    <d v="2024-05-17T00:00:00"/>
    <x v="36"/>
    <d v="2024-04-26T00:00:00"/>
    <x v="1"/>
    <s v="Sandwich"/>
    <x v="0"/>
    <n v="2"/>
    <n v="1283.58"/>
    <x v="0"/>
    <n v="49"/>
    <d v="2025-01-21T00:00:00"/>
    <n v="375"/>
    <s v="Inactive"/>
    <n v="1"/>
    <d v="2024-12-18T00:00:00"/>
    <s v="Delivered"/>
    <n v="2567.16"/>
  </r>
  <r>
    <x v="37"/>
    <s v="Female"/>
    <s v="Teenager"/>
    <x v="2"/>
    <d v="2024-02-06T00:00:00"/>
    <x v="37"/>
    <d v="2024-04-26T00:00:00"/>
    <x v="3"/>
    <s v="Fries"/>
    <x v="4"/>
    <n v="1"/>
    <n v="240.55"/>
    <x v="0"/>
    <n v="47"/>
    <d v="2025-07-15T00:00:00"/>
    <n v="412"/>
    <s v="Inactive"/>
    <m/>
    <d v="2025-06-07T00:00:00"/>
    <s v="Cancelled"/>
    <n v="240.55"/>
  </r>
  <r>
    <x v="38"/>
    <s v="Other"/>
    <s v="Adult"/>
    <x v="4"/>
    <d v="2024-08-23T00:00:00"/>
    <x v="38"/>
    <d v="2024-04-26T00:00:00"/>
    <x v="3"/>
    <s v="Sandwich"/>
    <x v="2"/>
    <n v="5"/>
    <n v="481.17"/>
    <x v="2"/>
    <n v="48"/>
    <d v="2025-03-02T00:00:00"/>
    <n v="391"/>
    <s v="Inactive"/>
    <m/>
    <d v="2024-10-13T00:00:00"/>
    <s v="Cancelled"/>
    <n v="2405.85"/>
  </r>
  <r>
    <x v="39"/>
    <s v="Other"/>
    <s v="Adult"/>
    <x v="4"/>
    <d v="2025-02-17T00:00:00"/>
    <x v="39"/>
    <d v="2024-04-26T00:00:00"/>
    <x v="4"/>
    <s v="Pasta"/>
    <x v="0"/>
    <n v="3"/>
    <n v="1387.34"/>
    <x v="2"/>
    <n v="40"/>
    <d v="2024-09-29T00:00:00"/>
    <n v="51"/>
    <s v="Active"/>
    <m/>
    <d v="2025-03-30T00:00:00"/>
    <s v="Cancelled"/>
    <n v="4162.0199999999995"/>
  </r>
  <r>
    <x v="40"/>
    <s v="Other"/>
    <s v="Teenager"/>
    <x v="2"/>
    <d v="2023-10-18T00:00:00"/>
    <x v="40"/>
    <d v="2024-04-26T00:00:00"/>
    <x v="1"/>
    <s v="Burger"/>
    <x v="4"/>
    <n v="3"/>
    <n v="1011.78"/>
    <x v="0"/>
    <n v="25"/>
    <d v="2024-10-03T00:00:00"/>
    <n v="39"/>
    <s v="Inactive"/>
    <n v="4"/>
    <d v="2025-07-01T00:00:00"/>
    <s v="Delayed"/>
    <n v="3035.34"/>
  </r>
  <r>
    <x v="41"/>
    <s v="Female"/>
    <s v="Senior"/>
    <x v="4"/>
    <d v="2024-02-22T00:00:00"/>
    <x v="41"/>
    <d v="2024-04-26T00:00:00"/>
    <x v="2"/>
    <s v="Sandwich"/>
    <x v="3"/>
    <n v="2"/>
    <n v="1363.15"/>
    <x v="1"/>
    <n v="32"/>
    <d v="2025-01-06T00:00:00"/>
    <n v="471"/>
    <s v="Inactive"/>
    <n v="2"/>
    <d v="2024-10-07T00:00:00"/>
    <s v="Delivered"/>
    <n v="2726.3"/>
  </r>
  <r>
    <x v="42"/>
    <s v="Male"/>
    <s v="Teenager"/>
    <x v="4"/>
    <d v="2024-06-19T00:00:00"/>
    <x v="42"/>
    <d v="2024-04-26T00:00:00"/>
    <x v="2"/>
    <s v="Pasta"/>
    <x v="1"/>
    <n v="3"/>
    <n v="1204.55"/>
    <x v="2"/>
    <n v="47"/>
    <d v="2025-04-07T00:00:00"/>
    <n v="400"/>
    <s v="Inactive"/>
    <n v="3"/>
    <d v="2025-05-02T00:00:00"/>
    <s v="Delayed"/>
    <n v="3613.6499999999996"/>
  </r>
  <r>
    <x v="43"/>
    <s v="Other"/>
    <s v="Senior"/>
    <x v="1"/>
    <d v="2024-05-21T00:00:00"/>
    <x v="43"/>
    <d v="2024-04-27T00:00:00"/>
    <x v="4"/>
    <s v="Pasta"/>
    <x v="0"/>
    <n v="2"/>
    <n v="966.48"/>
    <x v="2"/>
    <n v="5"/>
    <d v="2025-05-01T00:00:00"/>
    <n v="195"/>
    <s v="Active"/>
    <n v="2"/>
    <d v="2025-07-11T00:00:00"/>
    <s v="Delayed"/>
    <n v="1932.96"/>
  </r>
  <r>
    <x v="44"/>
    <s v="Other"/>
    <s v="Senior"/>
    <x v="3"/>
    <d v="2024-04-07T00:00:00"/>
    <x v="44"/>
    <d v="2024-04-27T00:00:00"/>
    <x v="2"/>
    <s v="Fries"/>
    <x v="1"/>
    <n v="2"/>
    <n v="1333.77"/>
    <x v="1"/>
    <n v="26"/>
    <d v="2025-03-15T00:00:00"/>
    <n v="272"/>
    <s v="Active"/>
    <m/>
    <d v="2025-07-17T00:00:00"/>
    <s v="Cancelled"/>
    <n v="2667.54"/>
  </r>
  <r>
    <x v="45"/>
    <s v="Other"/>
    <s v="Teenager"/>
    <x v="3"/>
    <d v="2023-10-07T00:00:00"/>
    <x v="45"/>
    <d v="2024-04-27T00:00:00"/>
    <x v="0"/>
    <s v="Pizza"/>
    <x v="2"/>
    <n v="3"/>
    <n v="623.05999999999995"/>
    <x v="1"/>
    <n v="26"/>
    <d v="2025-04-17T00:00:00"/>
    <n v="440"/>
    <s v="Inactive"/>
    <n v="4"/>
    <d v="2025-02-14T00:00:00"/>
    <s v="Delivered"/>
    <n v="1869.1799999999998"/>
  </r>
  <r>
    <x v="46"/>
    <s v="Other"/>
    <s v="Adult"/>
    <x v="0"/>
    <d v="2025-05-11T00:00:00"/>
    <x v="46"/>
    <d v="2024-04-27T00:00:00"/>
    <x v="3"/>
    <s v="Sandwich"/>
    <x v="1"/>
    <n v="5"/>
    <n v="191.04"/>
    <x v="2"/>
    <n v="5"/>
    <d v="2024-12-26T00:00:00"/>
    <n v="210"/>
    <s v="Active"/>
    <n v="3"/>
    <d v="2025-04-11T00:00:00"/>
    <s v="Delivered"/>
    <n v="955.19999999999993"/>
  </r>
  <r>
    <x v="47"/>
    <s v="Female"/>
    <s v="Teenager"/>
    <x v="2"/>
    <d v="2025-03-22T00:00:00"/>
    <x v="47"/>
    <d v="2024-04-27T00:00:00"/>
    <x v="2"/>
    <s v="Burger"/>
    <x v="1"/>
    <n v="2"/>
    <n v="957.04"/>
    <x v="0"/>
    <n v="47"/>
    <d v="2024-10-30T00:00:00"/>
    <n v="380"/>
    <s v="Inactive"/>
    <m/>
    <d v="2025-04-05T00:00:00"/>
    <s v="Cancelled"/>
    <n v="1914.08"/>
  </r>
  <r>
    <x v="48"/>
    <s v="Other"/>
    <s v="Adult"/>
    <x v="1"/>
    <d v="2024-05-19T00:00:00"/>
    <x v="48"/>
    <d v="2024-04-27T00:00:00"/>
    <x v="4"/>
    <s v="Pizza"/>
    <x v="4"/>
    <n v="4"/>
    <n v="1012.57"/>
    <x v="0"/>
    <n v="26"/>
    <d v="2024-08-24T00:00:00"/>
    <n v="463"/>
    <s v="Inactive"/>
    <n v="2"/>
    <d v="2024-10-24T00:00:00"/>
    <s v="Delayed"/>
    <n v="4050.28"/>
  </r>
  <r>
    <x v="49"/>
    <s v="Female"/>
    <s v="Teenager"/>
    <x v="3"/>
    <d v="2024-04-11T00:00:00"/>
    <x v="49"/>
    <d v="2024-04-27T00:00:00"/>
    <x v="3"/>
    <s v="Fries"/>
    <x v="1"/>
    <n v="1"/>
    <n v="1154.18"/>
    <x v="1"/>
    <n v="23"/>
    <d v="2024-10-15T00:00:00"/>
    <n v="448"/>
    <s v="Inactive"/>
    <n v="2"/>
    <d v="2025-07-21T00:00:00"/>
    <s v="Delivered"/>
    <n v="1154.18"/>
  </r>
  <r>
    <x v="50"/>
    <s v="Female"/>
    <s v="Adult"/>
    <x v="2"/>
    <d v="2024-01-21T00:00:00"/>
    <x v="50"/>
    <d v="2024-04-27T00:00:00"/>
    <x v="3"/>
    <s v="Burger"/>
    <x v="0"/>
    <n v="4"/>
    <n v="1227.07"/>
    <x v="2"/>
    <n v="11"/>
    <d v="2025-04-03T00:00:00"/>
    <n v="291"/>
    <s v="Active"/>
    <n v="5"/>
    <d v="2025-01-15T00:00:00"/>
    <s v="Delivered"/>
    <n v="4908.28"/>
  </r>
  <r>
    <x v="51"/>
    <s v="Female"/>
    <s v="Senior"/>
    <x v="1"/>
    <d v="2023-08-24T00:00:00"/>
    <x v="51"/>
    <d v="2024-04-27T00:00:00"/>
    <x v="3"/>
    <s v="Fries"/>
    <x v="3"/>
    <n v="5"/>
    <n v="188.91"/>
    <x v="2"/>
    <n v="23"/>
    <d v="2024-10-07T00:00:00"/>
    <n v="234"/>
    <s v="Active"/>
    <n v="5"/>
    <d v="2025-02-19T00:00:00"/>
    <s v="Delivered"/>
    <n v="944.55"/>
  </r>
  <r>
    <x v="52"/>
    <s v="Female"/>
    <s v="Teenager"/>
    <x v="1"/>
    <d v="2024-10-04T00:00:00"/>
    <x v="52"/>
    <d v="2024-04-28T00:00:00"/>
    <x v="4"/>
    <s v="Pizza"/>
    <x v="0"/>
    <n v="2"/>
    <n v="820.82"/>
    <x v="0"/>
    <n v="47"/>
    <d v="2024-09-04T00:00:00"/>
    <n v="294"/>
    <s v="Inactive"/>
    <n v="4"/>
    <d v="2024-10-13T00:00:00"/>
    <s v="Delivered"/>
    <n v="1641.64"/>
  </r>
  <r>
    <x v="53"/>
    <s v="Other"/>
    <s v="Senior"/>
    <x v="3"/>
    <d v="2023-11-04T00:00:00"/>
    <x v="53"/>
    <d v="2024-04-28T00:00:00"/>
    <x v="4"/>
    <s v="Burger"/>
    <x v="0"/>
    <n v="4"/>
    <n v="805.09"/>
    <x v="1"/>
    <n v="35"/>
    <d v="2024-11-25T00:00:00"/>
    <n v="195"/>
    <s v="Inactive"/>
    <m/>
    <d v="2025-06-03T00:00:00"/>
    <s v="Cancelled"/>
    <n v="3220.36"/>
  </r>
  <r>
    <x v="54"/>
    <s v="Other"/>
    <s v="Senior"/>
    <x v="2"/>
    <d v="2024-09-14T00:00:00"/>
    <x v="54"/>
    <d v="2024-04-28T00:00:00"/>
    <x v="1"/>
    <s v="Burger"/>
    <x v="1"/>
    <n v="2"/>
    <n v="611.52"/>
    <x v="0"/>
    <n v="21"/>
    <d v="2024-12-16T00:00:00"/>
    <n v="73"/>
    <s v="Active"/>
    <m/>
    <d v="2025-07-22T00:00:00"/>
    <s v="Cancelled"/>
    <n v="1223.04"/>
  </r>
  <r>
    <x v="55"/>
    <s v="Male"/>
    <s v="Adult"/>
    <x v="1"/>
    <d v="2025-01-05T00:00:00"/>
    <x v="55"/>
    <d v="2024-04-28T00:00:00"/>
    <x v="2"/>
    <s v="Burger"/>
    <x v="1"/>
    <n v="5"/>
    <n v="1071.83"/>
    <x v="2"/>
    <n v="24"/>
    <d v="2025-06-07T00:00:00"/>
    <n v="349"/>
    <s v="Inactive"/>
    <m/>
    <d v="2025-06-11T00:00:00"/>
    <s v="Cancelled"/>
    <n v="5359.15"/>
  </r>
  <r>
    <x v="56"/>
    <s v="Other"/>
    <s v="Adult"/>
    <x v="3"/>
    <d v="2025-03-17T00:00:00"/>
    <x v="56"/>
    <d v="2024-04-28T00:00:00"/>
    <x v="4"/>
    <s v="Fries"/>
    <x v="3"/>
    <n v="1"/>
    <n v="1145.82"/>
    <x v="2"/>
    <n v="30"/>
    <d v="2024-11-29T00:00:00"/>
    <n v="122"/>
    <s v="Active"/>
    <m/>
    <d v="2025-01-18T00:00:00"/>
    <s v="Cancelled"/>
    <n v="1145.82"/>
  </r>
  <r>
    <x v="57"/>
    <s v="Male"/>
    <s v="Teenager"/>
    <x v="4"/>
    <d v="2024-04-07T00:00:00"/>
    <x v="57"/>
    <d v="2024-04-28T00:00:00"/>
    <x v="2"/>
    <s v="Sandwich"/>
    <x v="4"/>
    <n v="1"/>
    <n v="411.37"/>
    <x v="1"/>
    <n v="30"/>
    <d v="2025-06-11T00:00:00"/>
    <n v="243"/>
    <s v="Active"/>
    <m/>
    <d v="2025-07-25T00:00:00"/>
    <s v="Cancelled"/>
    <n v="411.37"/>
  </r>
  <r>
    <x v="58"/>
    <s v="Other"/>
    <s v="Adult"/>
    <x v="2"/>
    <d v="2023-12-07T00:00:00"/>
    <x v="58"/>
    <d v="2024-04-28T00:00:00"/>
    <x v="2"/>
    <s v="Pasta"/>
    <x v="3"/>
    <n v="2"/>
    <n v="160.82"/>
    <x v="0"/>
    <n v="8"/>
    <d v="2025-07-24T00:00:00"/>
    <n v="285"/>
    <s v="Inactive"/>
    <n v="2"/>
    <d v="2024-08-28T00:00:00"/>
    <s v="Delivered"/>
    <n v="321.64"/>
  </r>
  <r>
    <x v="59"/>
    <s v="Female"/>
    <s v="Teenager"/>
    <x v="2"/>
    <d v="2025-08-15T00:00:00"/>
    <x v="59"/>
    <d v="2024-04-29T00:00:00"/>
    <x v="4"/>
    <s v="Sandwich"/>
    <x v="4"/>
    <n v="2"/>
    <n v="1185.2"/>
    <x v="2"/>
    <n v="46"/>
    <d v="2025-08-13T00:00:00"/>
    <n v="491"/>
    <s v="Active"/>
    <m/>
    <d v="2025-05-29T00:00:00"/>
    <s v="Cancelled"/>
    <n v="2370.4"/>
  </r>
  <r>
    <x v="60"/>
    <s v="Male"/>
    <s v="Teenager"/>
    <x v="3"/>
    <d v="2023-10-16T00:00:00"/>
    <x v="60"/>
    <d v="2024-04-29T00:00:00"/>
    <x v="4"/>
    <s v="Burger"/>
    <x v="1"/>
    <n v="4"/>
    <n v="930.85"/>
    <x v="0"/>
    <n v="4"/>
    <d v="2024-09-24T00:00:00"/>
    <n v="92"/>
    <s v="Inactive"/>
    <n v="3"/>
    <d v="2025-06-20T00:00:00"/>
    <s v="Delayed"/>
    <n v="3723.4"/>
  </r>
  <r>
    <x v="61"/>
    <s v="Other"/>
    <s v="Teenager"/>
    <x v="4"/>
    <d v="2024-12-17T00:00:00"/>
    <x v="61"/>
    <d v="2024-04-29T00:00:00"/>
    <x v="3"/>
    <s v="Pasta"/>
    <x v="0"/>
    <n v="5"/>
    <n v="1265.29"/>
    <x v="0"/>
    <n v="4"/>
    <d v="2024-10-18T00:00:00"/>
    <n v="262"/>
    <s v="Active"/>
    <n v="3"/>
    <d v="2025-05-02T00:00:00"/>
    <s v="Delivered"/>
    <n v="6326.45"/>
  </r>
  <r>
    <x v="62"/>
    <s v="Female"/>
    <s v="Adult"/>
    <x v="3"/>
    <d v="2024-12-18T00:00:00"/>
    <x v="62"/>
    <d v="2024-04-29T00:00:00"/>
    <x v="2"/>
    <s v="Fries"/>
    <x v="3"/>
    <n v="3"/>
    <n v="300.18"/>
    <x v="1"/>
    <n v="3"/>
    <d v="2025-01-11T00:00:00"/>
    <n v="411"/>
    <s v="Active"/>
    <m/>
    <d v="2025-01-15T00:00:00"/>
    <s v="Cancelled"/>
    <n v="900.54"/>
  </r>
  <r>
    <x v="63"/>
    <s v="Other"/>
    <s v="Adult"/>
    <x v="3"/>
    <d v="2024-10-26T00:00:00"/>
    <x v="63"/>
    <d v="2024-04-29T00:00:00"/>
    <x v="2"/>
    <s v="Sandwich"/>
    <x v="2"/>
    <n v="1"/>
    <n v="494.13"/>
    <x v="2"/>
    <n v="6"/>
    <d v="2025-04-28T00:00:00"/>
    <n v="262"/>
    <s v="Active"/>
    <n v="4"/>
    <d v="2025-02-14T00:00:00"/>
    <s v="Delivered"/>
    <n v="494.13"/>
  </r>
  <r>
    <x v="64"/>
    <s v="Female"/>
    <s v="Senior"/>
    <x v="2"/>
    <d v="2024-02-26T00:00:00"/>
    <x v="64"/>
    <d v="2024-04-29T00:00:00"/>
    <x v="3"/>
    <s v="Pasta"/>
    <x v="4"/>
    <n v="3"/>
    <n v="1029.4100000000001"/>
    <x v="2"/>
    <n v="32"/>
    <d v="2025-07-20T00:00:00"/>
    <n v="45"/>
    <s v="Inactive"/>
    <n v="3"/>
    <d v="2024-12-16T00:00:00"/>
    <s v="Delivered"/>
    <n v="3088.2300000000005"/>
  </r>
  <r>
    <x v="65"/>
    <s v="Male"/>
    <s v="Adult"/>
    <x v="4"/>
    <d v="2025-01-10T00:00:00"/>
    <x v="65"/>
    <d v="2024-04-29T00:00:00"/>
    <x v="3"/>
    <s v="Sandwich"/>
    <x v="3"/>
    <n v="5"/>
    <n v="1386.81"/>
    <x v="0"/>
    <n v="19"/>
    <d v="2024-11-18T00:00:00"/>
    <n v="240"/>
    <s v="Active"/>
    <n v="1"/>
    <d v="2024-09-21T00:00:00"/>
    <s v="Delivered"/>
    <n v="6934.0499999999993"/>
  </r>
  <r>
    <x v="66"/>
    <s v="Other"/>
    <s v="Teenager"/>
    <x v="2"/>
    <d v="2024-07-16T00:00:00"/>
    <x v="66"/>
    <d v="2024-04-29T00:00:00"/>
    <x v="4"/>
    <s v="Burger"/>
    <x v="2"/>
    <n v="3"/>
    <n v="987.74"/>
    <x v="1"/>
    <n v="50"/>
    <d v="2025-05-14T00:00:00"/>
    <n v="228"/>
    <s v="Active"/>
    <n v="1"/>
    <d v="2025-06-06T00:00:00"/>
    <s v="Delivered"/>
    <n v="2963.2200000000003"/>
  </r>
  <r>
    <x v="67"/>
    <s v="Female"/>
    <s v="Adult"/>
    <x v="4"/>
    <d v="2024-10-30T00:00:00"/>
    <x v="67"/>
    <d v="2024-04-30T00:00:00"/>
    <x v="4"/>
    <s v="Fries"/>
    <x v="2"/>
    <n v="1"/>
    <n v="1275.78"/>
    <x v="0"/>
    <n v="47"/>
    <d v="2024-10-14T00:00:00"/>
    <n v="351"/>
    <s v="Inactive"/>
    <n v="1"/>
    <d v="2025-07-20T00:00:00"/>
    <s v="Delivered"/>
    <n v="1275.78"/>
  </r>
  <r>
    <x v="68"/>
    <s v="Female"/>
    <s v="Adult"/>
    <x v="3"/>
    <d v="2025-08-05T00:00:00"/>
    <x v="68"/>
    <d v="2024-04-30T00:00:00"/>
    <x v="1"/>
    <s v="Burger"/>
    <x v="1"/>
    <n v="4"/>
    <n v="683.88"/>
    <x v="0"/>
    <n v="33"/>
    <d v="2025-03-30T00:00:00"/>
    <n v="475"/>
    <s v="Active"/>
    <m/>
    <d v="2025-06-11T00:00:00"/>
    <s v="Cancelled"/>
    <n v="2735.52"/>
  </r>
  <r>
    <x v="69"/>
    <s v="Male"/>
    <s v="Senior"/>
    <x v="3"/>
    <d v="2025-05-01T00:00:00"/>
    <x v="69"/>
    <d v="2024-04-30T00:00:00"/>
    <x v="0"/>
    <s v="Sandwich"/>
    <x v="0"/>
    <n v="2"/>
    <n v="1012.18"/>
    <x v="0"/>
    <n v="35"/>
    <d v="2025-01-22T00:00:00"/>
    <n v="141"/>
    <s v="Active"/>
    <n v="2"/>
    <d v="2024-10-22T00:00:00"/>
    <s v="Delivered"/>
    <n v="2024.36"/>
  </r>
  <r>
    <x v="70"/>
    <s v="Female"/>
    <s v="Senior"/>
    <x v="2"/>
    <d v="2024-05-29T00:00:00"/>
    <x v="70"/>
    <d v="2024-04-30T00:00:00"/>
    <x v="3"/>
    <s v="Pasta"/>
    <x v="4"/>
    <n v="4"/>
    <n v="173.93"/>
    <x v="2"/>
    <n v="8"/>
    <d v="2025-05-03T00:00:00"/>
    <n v="310"/>
    <s v="Active"/>
    <n v="1"/>
    <d v="2024-10-06T00:00:00"/>
    <s v="Delivered"/>
    <n v="695.72"/>
  </r>
  <r>
    <x v="71"/>
    <s v="Female"/>
    <s v="Senior"/>
    <x v="3"/>
    <d v="2025-07-14T00:00:00"/>
    <x v="71"/>
    <d v="2024-04-30T00:00:00"/>
    <x v="0"/>
    <s v="Pizza"/>
    <x v="4"/>
    <n v="3"/>
    <n v="276.39999999999998"/>
    <x v="2"/>
    <n v="20"/>
    <d v="2024-08-29T00:00:00"/>
    <n v="216"/>
    <s v="Inactive"/>
    <m/>
    <d v="2025-05-18T00:00:00"/>
    <s v="Cancelled"/>
    <n v="829.19999999999993"/>
  </r>
  <r>
    <x v="72"/>
    <s v="Other"/>
    <s v="Adult"/>
    <x v="1"/>
    <d v="2023-10-19T00:00:00"/>
    <x v="72"/>
    <d v="2024-04-30T00:00:00"/>
    <x v="2"/>
    <s v="Pizza"/>
    <x v="4"/>
    <n v="2"/>
    <n v="375.1"/>
    <x v="2"/>
    <n v="12"/>
    <d v="2024-09-27T00:00:00"/>
    <n v="107"/>
    <s v="Inactive"/>
    <n v="5"/>
    <d v="2025-04-21T00:00:00"/>
    <s v="Delivered"/>
    <n v="750.2"/>
  </r>
  <r>
    <x v="73"/>
    <s v="Male"/>
    <s v="Senior"/>
    <x v="3"/>
    <d v="2024-05-12T00:00:00"/>
    <x v="73"/>
    <d v="2024-05-01T00:00:00"/>
    <x v="1"/>
    <s v="Fries"/>
    <x v="0"/>
    <n v="4"/>
    <n v="938.68"/>
    <x v="1"/>
    <n v="30"/>
    <d v="2024-09-15T00:00:00"/>
    <n v="367"/>
    <s v="Inactive"/>
    <n v="2"/>
    <d v="2024-09-12T00:00:00"/>
    <s v="Delayed"/>
    <n v="3754.72"/>
  </r>
  <r>
    <x v="74"/>
    <s v="Male"/>
    <s v="Teenager"/>
    <x v="0"/>
    <d v="2025-05-16T00:00:00"/>
    <x v="74"/>
    <d v="2024-05-01T00:00:00"/>
    <x v="2"/>
    <s v="Sandwich"/>
    <x v="2"/>
    <n v="5"/>
    <n v="654.41"/>
    <x v="1"/>
    <n v="36"/>
    <d v="2024-10-30T00:00:00"/>
    <n v="268"/>
    <s v="Inactive"/>
    <n v="4"/>
    <d v="2025-05-11T00:00:00"/>
    <s v="Delivered"/>
    <n v="3272.0499999999997"/>
  </r>
  <r>
    <x v="75"/>
    <s v="Female"/>
    <s v="Teenager"/>
    <x v="3"/>
    <d v="2024-05-05T00:00:00"/>
    <x v="75"/>
    <d v="2024-05-01T00:00:00"/>
    <x v="3"/>
    <s v="Pizza"/>
    <x v="3"/>
    <n v="4"/>
    <n v="1164.26"/>
    <x v="1"/>
    <n v="47"/>
    <d v="2025-05-08T00:00:00"/>
    <n v="149"/>
    <s v="Inactive"/>
    <n v="4"/>
    <d v="2024-10-15T00:00:00"/>
    <s v="Delivered"/>
    <n v="4657.04"/>
  </r>
  <r>
    <x v="76"/>
    <s v="Male"/>
    <s v="Senior"/>
    <x v="3"/>
    <d v="2025-04-30T00:00:00"/>
    <x v="76"/>
    <d v="2024-05-01T00:00:00"/>
    <x v="3"/>
    <s v="Pasta"/>
    <x v="4"/>
    <n v="1"/>
    <n v="592.84"/>
    <x v="2"/>
    <n v="39"/>
    <d v="2025-05-27T00:00:00"/>
    <n v="290"/>
    <s v="Active"/>
    <n v="1"/>
    <d v="2024-10-26T00:00:00"/>
    <s v="Delivered"/>
    <n v="592.84"/>
  </r>
  <r>
    <x v="77"/>
    <s v="Other"/>
    <s v="Senior"/>
    <x v="1"/>
    <d v="2023-11-10T00:00:00"/>
    <x v="77"/>
    <d v="2024-05-02T00:00:00"/>
    <x v="2"/>
    <s v="Sandwich"/>
    <x v="4"/>
    <n v="3"/>
    <n v="1377.06"/>
    <x v="1"/>
    <n v="29"/>
    <d v="2024-11-30T00:00:00"/>
    <n v="372"/>
    <s v="Inactive"/>
    <n v="1"/>
    <d v="2025-05-07T00:00:00"/>
    <s v="Delivered"/>
    <n v="4131.18"/>
  </r>
  <r>
    <x v="78"/>
    <s v="Other"/>
    <s v="Teenager"/>
    <x v="4"/>
    <d v="2024-10-11T00:00:00"/>
    <x v="78"/>
    <d v="2024-05-02T00:00:00"/>
    <x v="4"/>
    <s v="Pasta"/>
    <x v="2"/>
    <n v="2"/>
    <n v="614.21"/>
    <x v="1"/>
    <n v="11"/>
    <d v="2025-06-13T00:00:00"/>
    <n v="361"/>
    <s v="Inactive"/>
    <n v="1"/>
    <d v="2024-12-26T00:00:00"/>
    <s v="Delayed"/>
    <n v="1228.42"/>
  </r>
  <r>
    <x v="79"/>
    <s v="Male"/>
    <s v="Teenager"/>
    <x v="1"/>
    <d v="2024-10-15T00:00:00"/>
    <x v="79"/>
    <d v="2024-05-02T00:00:00"/>
    <x v="2"/>
    <s v="Pasta"/>
    <x v="1"/>
    <n v="3"/>
    <n v="576.44000000000005"/>
    <x v="1"/>
    <n v="43"/>
    <d v="2025-08-15T00:00:00"/>
    <n v="460"/>
    <s v="Inactive"/>
    <n v="3"/>
    <d v="2025-02-23T00:00:00"/>
    <s v="Delivered"/>
    <n v="1729.3200000000002"/>
  </r>
  <r>
    <x v="80"/>
    <s v="Female"/>
    <s v="Senior"/>
    <x v="4"/>
    <d v="2025-06-28T00:00:00"/>
    <x v="80"/>
    <d v="2024-05-02T00:00:00"/>
    <x v="1"/>
    <s v="Sandwich"/>
    <x v="2"/>
    <n v="2"/>
    <n v="1369.3"/>
    <x v="2"/>
    <n v="45"/>
    <d v="2025-03-05T00:00:00"/>
    <n v="48"/>
    <s v="Inactive"/>
    <n v="5"/>
    <d v="2025-05-03T00:00:00"/>
    <s v="Delivered"/>
    <n v="2738.6"/>
  </r>
  <r>
    <x v="81"/>
    <s v="Male"/>
    <s v="Teenager"/>
    <x v="2"/>
    <d v="2024-07-26T00:00:00"/>
    <x v="81"/>
    <d v="2024-05-02T00:00:00"/>
    <x v="3"/>
    <s v="Sandwich"/>
    <x v="3"/>
    <n v="2"/>
    <n v="436.26"/>
    <x v="2"/>
    <n v="14"/>
    <d v="2024-10-15T00:00:00"/>
    <n v="278"/>
    <s v="Inactive"/>
    <n v="1"/>
    <d v="2024-12-24T00:00:00"/>
    <s v="Delayed"/>
    <n v="872.52"/>
  </r>
  <r>
    <x v="82"/>
    <s v="Other"/>
    <s v="Teenager"/>
    <x v="3"/>
    <d v="2024-06-02T00:00:00"/>
    <x v="82"/>
    <d v="2024-05-02T00:00:00"/>
    <x v="2"/>
    <s v="Burger"/>
    <x v="0"/>
    <n v="5"/>
    <n v="207.86"/>
    <x v="1"/>
    <n v="20"/>
    <d v="2025-04-14T00:00:00"/>
    <n v="251"/>
    <s v="Active"/>
    <n v="4"/>
    <d v="2025-08-09T00:00:00"/>
    <s v="Delivered"/>
    <n v="1039.3000000000002"/>
  </r>
  <r>
    <x v="83"/>
    <s v="Female"/>
    <s v="Adult"/>
    <x v="2"/>
    <d v="2024-05-06T00:00:00"/>
    <x v="83"/>
    <d v="2024-05-02T00:00:00"/>
    <x v="3"/>
    <s v="Pizza"/>
    <x v="0"/>
    <n v="4"/>
    <n v="340.15"/>
    <x v="1"/>
    <n v="44"/>
    <d v="2025-06-10T00:00:00"/>
    <n v="450"/>
    <s v="Active"/>
    <m/>
    <d v="2025-06-30T00:00:00"/>
    <s v="Cancelled"/>
    <n v="1360.6"/>
  </r>
  <r>
    <x v="84"/>
    <s v="Female"/>
    <s v="Senior"/>
    <x v="1"/>
    <d v="2025-07-31T00:00:00"/>
    <x v="84"/>
    <d v="2024-05-02T00:00:00"/>
    <x v="3"/>
    <s v="Fries"/>
    <x v="1"/>
    <n v="5"/>
    <n v="117.17"/>
    <x v="0"/>
    <n v="32"/>
    <d v="2025-04-08T00:00:00"/>
    <n v="488"/>
    <s v="Inactive"/>
    <n v="3"/>
    <d v="2024-11-03T00:00:00"/>
    <s v="Delayed"/>
    <n v="585.85"/>
  </r>
  <r>
    <x v="85"/>
    <s v="Other"/>
    <s v="Teenager"/>
    <x v="3"/>
    <d v="2025-07-27T00:00:00"/>
    <x v="85"/>
    <d v="2024-05-02T00:00:00"/>
    <x v="0"/>
    <s v="Burger"/>
    <x v="4"/>
    <n v="4"/>
    <n v="849.63"/>
    <x v="0"/>
    <n v="1"/>
    <d v="2025-02-28T00:00:00"/>
    <n v="482"/>
    <s v="Active"/>
    <m/>
    <d v="2024-11-25T00:00:00"/>
    <s v="Cancelled"/>
    <n v="3398.52"/>
  </r>
  <r>
    <x v="86"/>
    <s v="Female"/>
    <s v="Adult"/>
    <x v="0"/>
    <d v="2024-07-21T00:00:00"/>
    <x v="86"/>
    <d v="2024-05-03T00:00:00"/>
    <x v="0"/>
    <s v="Pizza"/>
    <x v="2"/>
    <n v="4"/>
    <n v="1349.93"/>
    <x v="2"/>
    <n v="14"/>
    <d v="2025-04-16T00:00:00"/>
    <n v="2"/>
    <s v="Active"/>
    <m/>
    <d v="2025-04-24T00:00:00"/>
    <s v="Cancelled"/>
    <n v="5399.72"/>
  </r>
  <r>
    <x v="87"/>
    <s v="Male"/>
    <s v="Teenager"/>
    <x v="4"/>
    <d v="2023-11-04T00:00:00"/>
    <x v="87"/>
    <d v="2024-05-03T00:00:00"/>
    <x v="1"/>
    <s v="Sandwich"/>
    <x v="2"/>
    <n v="4"/>
    <n v="1130.54"/>
    <x v="2"/>
    <n v="14"/>
    <d v="2025-04-28T00:00:00"/>
    <n v="315"/>
    <s v="Active"/>
    <n v="2"/>
    <d v="2024-10-15T00:00:00"/>
    <s v="Delivered"/>
    <n v="4522.16"/>
  </r>
  <r>
    <x v="88"/>
    <s v="Male"/>
    <s v="Teenager"/>
    <x v="2"/>
    <d v="2025-01-24T00:00:00"/>
    <x v="88"/>
    <d v="2024-05-03T00:00:00"/>
    <x v="0"/>
    <s v="Burger"/>
    <x v="1"/>
    <n v="5"/>
    <n v="726.46"/>
    <x v="1"/>
    <n v="11"/>
    <d v="2024-11-28T00:00:00"/>
    <n v="386"/>
    <s v="Inactive"/>
    <n v="4"/>
    <d v="2024-12-21T00:00:00"/>
    <s v="Delivered"/>
    <n v="3632.3"/>
  </r>
  <r>
    <x v="89"/>
    <s v="Female"/>
    <s v="Senior"/>
    <x v="3"/>
    <d v="2024-08-15T00:00:00"/>
    <x v="89"/>
    <d v="2024-05-03T00:00:00"/>
    <x v="1"/>
    <s v="Pizza"/>
    <x v="2"/>
    <n v="2"/>
    <n v="1172.17"/>
    <x v="1"/>
    <n v="6"/>
    <d v="2025-07-19T00:00:00"/>
    <n v="315"/>
    <s v="Active"/>
    <m/>
    <d v="2025-04-04T00:00:00"/>
    <s v="Cancelled"/>
    <n v="2344.34"/>
  </r>
  <r>
    <x v="90"/>
    <s v="Female"/>
    <s v="Adult"/>
    <x v="4"/>
    <d v="2024-07-06T00:00:00"/>
    <x v="90"/>
    <d v="2024-05-03T00:00:00"/>
    <x v="3"/>
    <s v="Fries"/>
    <x v="0"/>
    <n v="2"/>
    <n v="702.87"/>
    <x v="1"/>
    <n v="20"/>
    <d v="2025-06-28T00:00:00"/>
    <n v="258"/>
    <s v="Active"/>
    <m/>
    <d v="2024-08-29T00:00:00"/>
    <s v="Cancelled"/>
    <n v="1405.74"/>
  </r>
  <r>
    <x v="91"/>
    <s v="Other"/>
    <s v="Senior"/>
    <x v="2"/>
    <d v="2024-05-19T00:00:00"/>
    <x v="91"/>
    <d v="2024-05-03T00:00:00"/>
    <x v="2"/>
    <s v="Sandwich"/>
    <x v="2"/>
    <n v="5"/>
    <n v="739.23"/>
    <x v="0"/>
    <n v="33"/>
    <d v="2025-05-05T00:00:00"/>
    <n v="333"/>
    <s v="Active"/>
    <m/>
    <d v="2024-10-01T00:00:00"/>
    <s v="Cancelled"/>
    <n v="3696.15"/>
  </r>
  <r>
    <x v="92"/>
    <s v="Other"/>
    <s v="Senior"/>
    <x v="0"/>
    <d v="2024-02-26T00:00:00"/>
    <x v="92"/>
    <d v="2024-05-04T00:00:00"/>
    <x v="2"/>
    <s v="Fries"/>
    <x v="2"/>
    <n v="5"/>
    <n v="419.55"/>
    <x v="2"/>
    <n v="50"/>
    <d v="2024-09-29T00:00:00"/>
    <n v="241"/>
    <s v="Active"/>
    <n v="5"/>
    <d v="2024-12-24T00:00:00"/>
    <s v="Delivered"/>
    <n v="2097.75"/>
  </r>
  <r>
    <x v="93"/>
    <s v="Female"/>
    <s v="Adult"/>
    <x v="4"/>
    <d v="2025-03-28T00:00:00"/>
    <x v="93"/>
    <d v="2024-05-04T00:00:00"/>
    <x v="4"/>
    <s v="Pasta"/>
    <x v="1"/>
    <n v="3"/>
    <n v="876.4"/>
    <x v="0"/>
    <n v="7"/>
    <d v="2025-04-27T00:00:00"/>
    <n v="137"/>
    <s v="Active"/>
    <m/>
    <d v="2024-08-26T00:00:00"/>
    <s v="Cancelled"/>
    <n v="2629.2"/>
  </r>
  <r>
    <x v="94"/>
    <s v="Other"/>
    <s v="Adult"/>
    <x v="4"/>
    <d v="2024-10-22T00:00:00"/>
    <x v="94"/>
    <d v="2024-05-04T00:00:00"/>
    <x v="4"/>
    <s v="Fries"/>
    <x v="0"/>
    <n v="3"/>
    <n v="236.93"/>
    <x v="2"/>
    <n v="49"/>
    <d v="2025-02-11T00:00:00"/>
    <n v="446"/>
    <s v="Active"/>
    <n v="3"/>
    <d v="2025-01-25T00:00:00"/>
    <s v="Delivered"/>
    <n v="710.79"/>
  </r>
  <r>
    <x v="95"/>
    <s v="Other"/>
    <s v="Senior"/>
    <x v="4"/>
    <d v="2023-09-20T00:00:00"/>
    <x v="95"/>
    <d v="2024-05-04T00:00:00"/>
    <x v="4"/>
    <s v="Pasta"/>
    <x v="1"/>
    <n v="1"/>
    <n v="171.97"/>
    <x v="0"/>
    <n v="19"/>
    <d v="2024-09-09T00:00:00"/>
    <n v="412"/>
    <s v="Inactive"/>
    <n v="4"/>
    <d v="2025-02-04T00:00:00"/>
    <s v="Delivered"/>
    <n v="171.97"/>
  </r>
  <r>
    <x v="96"/>
    <s v="Other"/>
    <s v="Senior"/>
    <x v="0"/>
    <d v="2024-08-19T00:00:00"/>
    <x v="96"/>
    <d v="2024-05-04T00:00:00"/>
    <x v="2"/>
    <s v="Fries"/>
    <x v="4"/>
    <n v="5"/>
    <n v="799.38"/>
    <x v="0"/>
    <n v="42"/>
    <d v="2024-11-22T00:00:00"/>
    <n v="300"/>
    <s v="Active"/>
    <n v="2"/>
    <d v="2024-10-22T00:00:00"/>
    <s v="Delivered"/>
    <n v="3996.9"/>
  </r>
  <r>
    <x v="97"/>
    <s v="Female"/>
    <s v="Adult"/>
    <x v="2"/>
    <d v="2025-07-09T00:00:00"/>
    <x v="97"/>
    <d v="2024-05-04T00:00:00"/>
    <x v="4"/>
    <s v="Pasta"/>
    <x v="4"/>
    <n v="1"/>
    <n v="492.37"/>
    <x v="1"/>
    <n v="4"/>
    <d v="2025-02-19T00:00:00"/>
    <n v="348"/>
    <s v="Active"/>
    <n v="2"/>
    <d v="2025-05-27T00:00:00"/>
    <s v="Delivered"/>
    <n v="492.37"/>
  </r>
  <r>
    <x v="98"/>
    <s v="Male"/>
    <s v="Adult"/>
    <x v="2"/>
    <d v="2025-02-18T00:00:00"/>
    <x v="98"/>
    <d v="2024-05-05T00:00:00"/>
    <x v="2"/>
    <s v="Pasta"/>
    <x v="4"/>
    <n v="3"/>
    <n v="806.34"/>
    <x v="2"/>
    <n v="18"/>
    <d v="2025-02-12T00:00:00"/>
    <n v="278"/>
    <s v="Inactive"/>
    <m/>
    <d v="2024-12-26T00:00:00"/>
    <s v="Cancelled"/>
    <n v="2419.02"/>
  </r>
  <r>
    <x v="99"/>
    <s v="Other"/>
    <s v="Teenager"/>
    <x v="2"/>
    <d v="2024-10-31T00:00:00"/>
    <x v="99"/>
    <d v="2024-05-05T00:00:00"/>
    <x v="4"/>
    <s v="Fries"/>
    <x v="3"/>
    <n v="2"/>
    <n v="1304.69"/>
    <x v="1"/>
    <n v="27"/>
    <d v="2024-10-25T00:00:00"/>
    <n v="436"/>
    <s v="Active"/>
    <n v="3"/>
    <d v="2025-01-08T00:00:00"/>
    <s v="Delivered"/>
    <n v="2609.38"/>
  </r>
  <r>
    <x v="100"/>
    <s v="Other"/>
    <s v="Teenager"/>
    <x v="0"/>
    <d v="2024-11-06T00:00:00"/>
    <x v="100"/>
    <d v="2024-05-05T00:00:00"/>
    <x v="4"/>
    <s v="Pasta"/>
    <x v="1"/>
    <n v="4"/>
    <n v="1344.23"/>
    <x v="2"/>
    <n v="45"/>
    <d v="2025-04-25T00:00:00"/>
    <n v="398"/>
    <s v="Inactive"/>
    <m/>
    <d v="2025-08-14T00:00:00"/>
    <s v="Cancelled"/>
    <n v="5376.92"/>
  </r>
  <r>
    <x v="101"/>
    <s v="Male"/>
    <s v="Teenager"/>
    <x v="0"/>
    <d v="2024-08-08T00:00:00"/>
    <x v="101"/>
    <d v="2024-05-05T00:00:00"/>
    <x v="2"/>
    <s v="Pasta"/>
    <x v="1"/>
    <n v="2"/>
    <n v="1146.6400000000001"/>
    <x v="1"/>
    <n v="23"/>
    <d v="2024-12-15T00:00:00"/>
    <n v="401"/>
    <s v="Active"/>
    <m/>
    <d v="2024-11-18T00:00:00"/>
    <s v="Cancelled"/>
    <n v="2293.2800000000002"/>
  </r>
  <r>
    <x v="102"/>
    <s v="Female"/>
    <s v="Adult"/>
    <x v="0"/>
    <d v="2025-01-09T00:00:00"/>
    <x v="102"/>
    <d v="2024-05-05T00:00:00"/>
    <x v="0"/>
    <s v="Fries"/>
    <x v="4"/>
    <n v="3"/>
    <n v="197.07"/>
    <x v="2"/>
    <n v="38"/>
    <d v="2024-11-19T00:00:00"/>
    <n v="20"/>
    <s v="Active"/>
    <n v="4"/>
    <d v="2025-04-05T00:00:00"/>
    <s v="Delivered"/>
    <n v="591.21"/>
  </r>
  <r>
    <x v="103"/>
    <s v="Female"/>
    <s v="Adult"/>
    <x v="2"/>
    <d v="2024-02-16T00:00:00"/>
    <x v="103"/>
    <d v="2024-05-05T00:00:00"/>
    <x v="2"/>
    <s v="Sandwich"/>
    <x v="0"/>
    <n v="4"/>
    <n v="1317.71"/>
    <x v="0"/>
    <n v="36"/>
    <d v="2024-11-13T00:00:00"/>
    <n v="252"/>
    <s v="Inactive"/>
    <m/>
    <d v="2025-03-28T00:00:00"/>
    <s v="Cancelled"/>
    <n v="5270.84"/>
  </r>
  <r>
    <x v="104"/>
    <s v="Female"/>
    <s v="Adult"/>
    <x v="0"/>
    <d v="2024-11-30T00:00:00"/>
    <x v="104"/>
    <d v="2024-05-05T00:00:00"/>
    <x v="0"/>
    <s v="Burger"/>
    <x v="2"/>
    <n v="4"/>
    <n v="137.37"/>
    <x v="0"/>
    <n v="33"/>
    <d v="2025-05-08T00:00:00"/>
    <n v="412"/>
    <s v="Active"/>
    <m/>
    <d v="2025-04-05T00:00:00"/>
    <s v="Cancelled"/>
    <n v="549.48"/>
  </r>
  <r>
    <x v="105"/>
    <s v="Other"/>
    <s v="Teenager"/>
    <x v="1"/>
    <d v="2025-02-16T00:00:00"/>
    <x v="105"/>
    <d v="2024-05-06T00:00:00"/>
    <x v="0"/>
    <s v="Sandwich"/>
    <x v="1"/>
    <n v="2"/>
    <n v="438.7"/>
    <x v="0"/>
    <n v="24"/>
    <d v="2024-09-05T00:00:00"/>
    <n v="64"/>
    <s v="Inactive"/>
    <n v="2"/>
    <d v="2025-08-08T00:00:00"/>
    <s v="Delayed"/>
    <n v="877.4"/>
  </r>
  <r>
    <x v="106"/>
    <s v="Male"/>
    <s v="Senior"/>
    <x v="1"/>
    <d v="2023-09-16T00:00:00"/>
    <x v="106"/>
    <d v="2024-05-06T00:00:00"/>
    <x v="0"/>
    <s v="Sandwich"/>
    <x v="4"/>
    <n v="2"/>
    <n v="1080.01"/>
    <x v="2"/>
    <n v="41"/>
    <d v="2024-10-24T00:00:00"/>
    <n v="106"/>
    <s v="Active"/>
    <n v="3"/>
    <d v="2025-07-24T00:00:00"/>
    <s v="Delivered"/>
    <n v="2160.02"/>
  </r>
  <r>
    <x v="107"/>
    <s v="Other"/>
    <s v="Senior"/>
    <x v="3"/>
    <d v="2024-11-09T00:00:00"/>
    <x v="107"/>
    <d v="2024-05-06T00:00:00"/>
    <x v="1"/>
    <s v="Pasta"/>
    <x v="3"/>
    <n v="3"/>
    <n v="1180.1300000000001"/>
    <x v="2"/>
    <n v="15"/>
    <d v="2025-01-16T00:00:00"/>
    <n v="373"/>
    <s v="Inactive"/>
    <n v="5"/>
    <d v="2025-04-12T00:00:00"/>
    <s v="Delayed"/>
    <n v="3540.3900000000003"/>
  </r>
  <r>
    <x v="108"/>
    <s v="Male"/>
    <s v="Senior"/>
    <x v="3"/>
    <d v="2024-11-27T00:00:00"/>
    <x v="108"/>
    <d v="2024-05-06T00:00:00"/>
    <x v="0"/>
    <s v="Pizza"/>
    <x v="4"/>
    <n v="2"/>
    <n v="804.13"/>
    <x v="2"/>
    <n v="26"/>
    <d v="2025-06-24T00:00:00"/>
    <n v="298"/>
    <s v="Inactive"/>
    <n v="1"/>
    <d v="2025-04-24T00:00:00"/>
    <s v="Delayed"/>
    <n v="1608.26"/>
  </r>
  <r>
    <x v="109"/>
    <s v="Female"/>
    <s v="Teenager"/>
    <x v="3"/>
    <d v="2024-05-21T00:00:00"/>
    <x v="109"/>
    <d v="2024-05-06T00:00:00"/>
    <x v="0"/>
    <s v="Fries"/>
    <x v="1"/>
    <n v="5"/>
    <n v="333.34"/>
    <x v="1"/>
    <n v="18"/>
    <d v="2025-07-08T00:00:00"/>
    <n v="258"/>
    <s v="Active"/>
    <n v="1"/>
    <d v="2024-08-22T00:00:00"/>
    <s v="Delayed"/>
    <n v="1666.6999999999998"/>
  </r>
  <r>
    <x v="110"/>
    <s v="Female"/>
    <s v="Adult"/>
    <x v="0"/>
    <d v="2024-01-07T00:00:00"/>
    <x v="110"/>
    <d v="2024-05-07T00:00:00"/>
    <x v="0"/>
    <s v="Pasta"/>
    <x v="1"/>
    <n v="1"/>
    <n v="834.97"/>
    <x v="0"/>
    <n v="31"/>
    <d v="2024-08-23T00:00:00"/>
    <n v="263"/>
    <s v="Inactive"/>
    <n v="1"/>
    <d v="2024-09-11T00:00:00"/>
    <s v="Delayed"/>
    <n v="834.97"/>
  </r>
  <r>
    <x v="111"/>
    <s v="Other"/>
    <s v="Adult"/>
    <x v="2"/>
    <d v="2025-07-05T00:00:00"/>
    <x v="111"/>
    <d v="2024-05-07T00:00:00"/>
    <x v="2"/>
    <s v="Pizza"/>
    <x v="4"/>
    <n v="2"/>
    <n v="1079.19"/>
    <x v="0"/>
    <n v="4"/>
    <d v="2024-09-20T00:00:00"/>
    <n v="9"/>
    <s v="Inactive"/>
    <n v="1"/>
    <d v="2025-08-03T00:00:00"/>
    <s v="Delayed"/>
    <n v="2158.38"/>
  </r>
  <r>
    <x v="112"/>
    <s v="Female"/>
    <s v="Senior"/>
    <x v="0"/>
    <d v="2024-03-16T00:00:00"/>
    <x v="112"/>
    <d v="2024-05-07T00:00:00"/>
    <x v="2"/>
    <s v="Pizza"/>
    <x v="3"/>
    <n v="5"/>
    <n v="537.33000000000004"/>
    <x v="1"/>
    <n v="33"/>
    <d v="2024-12-21T00:00:00"/>
    <n v="239"/>
    <s v="Inactive"/>
    <n v="2"/>
    <d v="2025-04-28T00:00:00"/>
    <s v="Delayed"/>
    <n v="2686.65"/>
  </r>
  <r>
    <x v="113"/>
    <s v="Female"/>
    <s v="Senior"/>
    <x v="0"/>
    <d v="2025-01-03T00:00:00"/>
    <x v="113"/>
    <d v="2024-05-07T00:00:00"/>
    <x v="4"/>
    <s v="Burger"/>
    <x v="1"/>
    <n v="1"/>
    <n v="896.27"/>
    <x v="1"/>
    <n v="11"/>
    <d v="2025-02-11T00:00:00"/>
    <n v="61"/>
    <s v="Active"/>
    <n v="2"/>
    <d v="2024-08-26T00:00:00"/>
    <s v="Delivered"/>
    <n v="896.27"/>
  </r>
  <r>
    <x v="114"/>
    <s v="Other"/>
    <s v="Teenager"/>
    <x v="3"/>
    <d v="2024-04-08T00:00:00"/>
    <x v="114"/>
    <d v="2024-05-07T00:00:00"/>
    <x v="1"/>
    <s v="Fries"/>
    <x v="1"/>
    <n v="2"/>
    <n v="489.76"/>
    <x v="2"/>
    <n v="45"/>
    <d v="2025-05-21T00:00:00"/>
    <n v="59"/>
    <s v="Active"/>
    <n v="5"/>
    <d v="2025-02-09T00:00:00"/>
    <s v="Delayed"/>
    <n v="979.52"/>
  </r>
  <r>
    <x v="115"/>
    <s v="Other"/>
    <s v="Adult"/>
    <x v="4"/>
    <d v="2023-09-12T00:00:00"/>
    <x v="115"/>
    <d v="2024-05-07T00:00:00"/>
    <x v="3"/>
    <s v="Pasta"/>
    <x v="4"/>
    <n v="3"/>
    <n v="1024.57"/>
    <x v="2"/>
    <n v="32"/>
    <d v="2025-07-29T00:00:00"/>
    <n v="409"/>
    <s v="Active"/>
    <n v="4"/>
    <d v="2024-12-20T00:00:00"/>
    <s v="Delivered"/>
    <n v="3073.71"/>
  </r>
  <r>
    <x v="116"/>
    <s v="Other"/>
    <s v="Adult"/>
    <x v="1"/>
    <d v="2025-07-15T00:00:00"/>
    <x v="116"/>
    <d v="2024-05-08T00:00:00"/>
    <x v="2"/>
    <s v="Pizza"/>
    <x v="1"/>
    <n v="3"/>
    <n v="143.13999999999999"/>
    <x v="0"/>
    <n v="12"/>
    <d v="2025-06-20T00:00:00"/>
    <n v="491"/>
    <s v="Inactive"/>
    <n v="2"/>
    <d v="2025-03-13T00:00:00"/>
    <s v="Delayed"/>
    <n v="429.41999999999996"/>
  </r>
  <r>
    <x v="117"/>
    <s v="Male"/>
    <s v="Teenager"/>
    <x v="0"/>
    <d v="2025-04-12T00:00:00"/>
    <x v="117"/>
    <d v="2024-05-08T00:00:00"/>
    <x v="2"/>
    <s v="Fries"/>
    <x v="1"/>
    <n v="3"/>
    <n v="209.88"/>
    <x v="1"/>
    <n v="32"/>
    <d v="2025-04-20T00:00:00"/>
    <n v="66"/>
    <s v="Active"/>
    <n v="4"/>
    <d v="2024-09-06T00:00:00"/>
    <s v="Delayed"/>
    <n v="629.64"/>
  </r>
  <r>
    <x v="118"/>
    <s v="Other"/>
    <s v="Teenager"/>
    <x v="1"/>
    <d v="2024-09-26T00:00:00"/>
    <x v="118"/>
    <d v="2024-05-08T00:00:00"/>
    <x v="3"/>
    <s v="Sandwich"/>
    <x v="1"/>
    <n v="2"/>
    <n v="906.22"/>
    <x v="2"/>
    <n v="11"/>
    <d v="2024-10-08T00:00:00"/>
    <n v="439"/>
    <s v="Inactive"/>
    <m/>
    <d v="2025-06-01T00:00:00"/>
    <s v="Cancelled"/>
    <n v="1812.44"/>
  </r>
  <r>
    <x v="119"/>
    <s v="Other"/>
    <s v="Senior"/>
    <x v="2"/>
    <d v="2025-03-28T00:00:00"/>
    <x v="119"/>
    <d v="2024-05-08T00:00:00"/>
    <x v="1"/>
    <s v="Fries"/>
    <x v="2"/>
    <n v="3"/>
    <n v="1282.8699999999999"/>
    <x v="1"/>
    <n v="46"/>
    <d v="2024-10-30T00:00:00"/>
    <n v="480"/>
    <s v="Inactive"/>
    <n v="5"/>
    <d v="2024-11-05T00:00:00"/>
    <s v="Delayed"/>
    <n v="3848.6099999999997"/>
  </r>
  <r>
    <x v="120"/>
    <s v="Male"/>
    <s v="Teenager"/>
    <x v="0"/>
    <d v="2025-08-01T00:00:00"/>
    <x v="120"/>
    <d v="2024-05-08T00:00:00"/>
    <x v="0"/>
    <s v="Pizza"/>
    <x v="4"/>
    <n v="1"/>
    <n v="900.48"/>
    <x v="0"/>
    <n v="13"/>
    <d v="2025-07-20T00:00:00"/>
    <n v="28"/>
    <s v="Active"/>
    <n v="5"/>
    <d v="2025-06-16T00:00:00"/>
    <s v="Delayed"/>
    <n v="900.48"/>
  </r>
  <r>
    <x v="121"/>
    <s v="Female"/>
    <s v="Teenager"/>
    <x v="0"/>
    <d v="2024-08-05T00:00:00"/>
    <x v="121"/>
    <d v="2024-05-08T00:00:00"/>
    <x v="1"/>
    <s v="Pizza"/>
    <x v="4"/>
    <n v="2"/>
    <n v="734.06"/>
    <x v="1"/>
    <n v="39"/>
    <d v="2025-05-02T00:00:00"/>
    <n v="120"/>
    <s v="Inactive"/>
    <m/>
    <d v="2024-09-23T00:00:00"/>
    <s v="Cancelled"/>
    <n v="1468.12"/>
  </r>
  <r>
    <x v="122"/>
    <s v="Female"/>
    <s v="Teenager"/>
    <x v="0"/>
    <d v="2024-08-17T00:00:00"/>
    <x v="122"/>
    <d v="2024-05-08T00:00:00"/>
    <x v="4"/>
    <s v="Fries"/>
    <x v="0"/>
    <n v="1"/>
    <n v="733.23"/>
    <x v="1"/>
    <n v="26"/>
    <d v="2024-11-18T00:00:00"/>
    <n v="299"/>
    <s v="Active"/>
    <n v="3"/>
    <d v="2024-09-12T00:00:00"/>
    <s v="Delivered"/>
    <n v="733.23"/>
  </r>
  <r>
    <x v="123"/>
    <s v="Other"/>
    <s v="Adult"/>
    <x v="2"/>
    <d v="2023-10-12T00:00:00"/>
    <x v="123"/>
    <d v="2024-05-08T00:00:00"/>
    <x v="4"/>
    <s v="Sandwich"/>
    <x v="0"/>
    <n v="4"/>
    <n v="934.92"/>
    <x v="0"/>
    <n v="32"/>
    <d v="2025-06-16T00:00:00"/>
    <n v="327"/>
    <s v="Inactive"/>
    <n v="1"/>
    <d v="2024-12-13T00:00:00"/>
    <s v="Delivered"/>
    <n v="3739.68"/>
  </r>
  <r>
    <x v="124"/>
    <s v="Female"/>
    <s v="Teenager"/>
    <x v="2"/>
    <d v="2024-12-11T00:00:00"/>
    <x v="124"/>
    <d v="2024-05-08T00:00:00"/>
    <x v="4"/>
    <s v="Pasta"/>
    <x v="2"/>
    <n v="2"/>
    <n v="364.05"/>
    <x v="0"/>
    <n v="43"/>
    <d v="2024-12-08T00:00:00"/>
    <n v="244"/>
    <s v="Inactive"/>
    <n v="1"/>
    <d v="2025-07-29T00:00:00"/>
    <s v="Delayed"/>
    <n v="728.1"/>
  </r>
  <r>
    <x v="125"/>
    <s v="Other"/>
    <s v="Adult"/>
    <x v="1"/>
    <d v="2025-04-30T00:00:00"/>
    <x v="125"/>
    <d v="2024-05-08T00:00:00"/>
    <x v="0"/>
    <s v="Pasta"/>
    <x v="3"/>
    <n v="4"/>
    <n v="495.96"/>
    <x v="0"/>
    <n v="14"/>
    <d v="2024-08-22T00:00:00"/>
    <n v="149"/>
    <s v="Active"/>
    <n v="5"/>
    <d v="2025-02-13T00:00:00"/>
    <s v="Delayed"/>
    <n v="1983.84"/>
  </r>
  <r>
    <x v="126"/>
    <s v="Male"/>
    <s v="Adult"/>
    <x v="2"/>
    <d v="2025-01-12T00:00:00"/>
    <x v="126"/>
    <d v="2024-05-08T00:00:00"/>
    <x v="3"/>
    <s v="Sandwich"/>
    <x v="4"/>
    <n v="2"/>
    <n v="706.91"/>
    <x v="1"/>
    <n v="27"/>
    <d v="2025-02-06T00:00:00"/>
    <n v="310"/>
    <s v="Inactive"/>
    <n v="2"/>
    <d v="2025-02-17T00:00:00"/>
    <s v="Delivered"/>
    <n v="1413.82"/>
  </r>
  <r>
    <x v="127"/>
    <s v="Female"/>
    <s v="Adult"/>
    <x v="2"/>
    <d v="2025-02-02T00:00:00"/>
    <x v="127"/>
    <d v="2024-05-09T00:00:00"/>
    <x v="3"/>
    <s v="Pasta"/>
    <x v="1"/>
    <n v="1"/>
    <n v="219.54"/>
    <x v="1"/>
    <n v="42"/>
    <d v="2024-09-26T00:00:00"/>
    <n v="392"/>
    <s v="Active"/>
    <m/>
    <d v="2024-10-23T00:00:00"/>
    <s v="Cancelled"/>
    <n v="219.54"/>
  </r>
  <r>
    <x v="128"/>
    <s v="Female"/>
    <s v="Adult"/>
    <x v="0"/>
    <d v="2025-05-07T00:00:00"/>
    <x v="128"/>
    <d v="2024-05-09T00:00:00"/>
    <x v="2"/>
    <s v="Burger"/>
    <x v="1"/>
    <n v="2"/>
    <n v="114.74"/>
    <x v="1"/>
    <n v="30"/>
    <d v="2025-01-06T00:00:00"/>
    <n v="402"/>
    <s v="Active"/>
    <m/>
    <d v="2024-10-26T00:00:00"/>
    <s v="Cancelled"/>
    <n v="229.48"/>
  </r>
  <r>
    <x v="129"/>
    <s v="Other"/>
    <s v="Teenager"/>
    <x v="2"/>
    <d v="2023-09-20T00:00:00"/>
    <x v="129"/>
    <d v="2024-05-09T00:00:00"/>
    <x v="0"/>
    <s v="Fries"/>
    <x v="4"/>
    <n v="2"/>
    <n v="988.27"/>
    <x v="0"/>
    <n v="10"/>
    <d v="2024-12-12T00:00:00"/>
    <n v="131"/>
    <s v="Active"/>
    <n v="3"/>
    <d v="2025-04-05T00:00:00"/>
    <s v="Delayed"/>
    <n v="1976.54"/>
  </r>
  <r>
    <x v="130"/>
    <s v="Male"/>
    <s v="Adult"/>
    <x v="1"/>
    <d v="2025-03-24T00:00:00"/>
    <x v="130"/>
    <d v="2024-05-09T00:00:00"/>
    <x v="4"/>
    <s v="Pizza"/>
    <x v="4"/>
    <n v="2"/>
    <n v="1109.52"/>
    <x v="1"/>
    <n v="23"/>
    <d v="2025-01-13T00:00:00"/>
    <n v="423"/>
    <s v="Inactive"/>
    <m/>
    <d v="2024-10-11T00:00:00"/>
    <s v="Cancelled"/>
    <n v="2219.04"/>
  </r>
  <r>
    <x v="131"/>
    <s v="Other"/>
    <s v="Adult"/>
    <x v="2"/>
    <d v="2025-05-07T00:00:00"/>
    <x v="131"/>
    <d v="2024-05-09T00:00:00"/>
    <x v="0"/>
    <s v="Sandwich"/>
    <x v="2"/>
    <n v="5"/>
    <n v="818.91"/>
    <x v="1"/>
    <n v="35"/>
    <d v="2025-07-07T00:00:00"/>
    <n v="243"/>
    <s v="Inactive"/>
    <m/>
    <d v="2025-03-21T00:00:00"/>
    <s v="Cancelled"/>
    <n v="4094.5499999999997"/>
  </r>
  <r>
    <x v="132"/>
    <s v="Other"/>
    <s v="Adult"/>
    <x v="0"/>
    <d v="2025-01-05T00:00:00"/>
    <x v="132"/>
    <d v="2024-05-09T00:00:00"/>
    <x v="1"/>
    <s v="Fries"/>
    <x v="2"/>
    <n v="1"/>
    <n v="646.07000000000005"/>
    <x v="2"/>
    <n v="8"/>
    <d v="2024-12-21T00:00:00"/>
    <n v="278"/>
    <s v="Inactive"/>
    <n v="5"/>
    <d v="2025-04-23T00:00:00"/>
    <s v="Delivered"/>
    <n v="646.07000000000005"/>
  </r>
  <r>
    <x v="133"/>
    <s v="Female"/>
    <s v="Adult"/>
    <x v="3"/>
    <d v="2024-05-02T00:00:00"/>
    <x v="133"/>
    <d v="2024-05-09T00:00:00"/>
    <x v="3"/>
    <s v="Fries"/>
    <x v="0"/>
    <n v="1"/>
    <n v="1485.85"/>
    <x v="1"/>
    <n v="47"/>
    <d v="2024-12-27T00:00:00"/>
    <n v="393"/>
    <s v="Active"/>
    <m/>
    <d v="2025-03-15T00:00:00"/>
    <s v="Cancelled"/>
    <n v="1485.85"/>
  </r>
  <r>
    <x v="134"/>
    <s v="Other"/>
    <s v="Adult"/>
    <x v="4"/>
    <d v="2024-05-02T00:00:00"/>
    <x v="134"/>
    <d v="2024-05-09T00:00:00"/>
    <x v="2"/>
    <s v="Pizza"/>
    <x v="0"/>
    <n v="5"/>
    <n v="1300.1500000000001"/>
    <x v="2"/>
    <n v="42"/>
    <d v="2024-09-16T00:00:00"/>
    <n v="14"/>
    <s v="Active"/>
    <n v="2"/>
    <d v="2024-11-13T00:00:00"/>
    <s v="Delayed"/>
    <n v="6500.75"/>
  </r>
  <r>
    <x v="135"/>
    <s v="Other"/>
    <s v="Senior"/>
    <x v="2"/>
    <d v="2024-04-01T00:00:00"/>
    <x v="135"/>
    <d v="2024-05-10T00:00:00"/>
    <x v="1"/>
    <s v="Sandwich"/>
    <x v="1"/>
    <n v="5"/>
    <n v="1469.53"/>
    <x v="2"/>
    <n v="13"/>
    <d v="2025-06-03T00:00:00"/>
    <n v="165"/>
    <s v="Active"/>
    <n v="5"/>
    <d v="2025-04-01T00:00:00"/>
    <s v="Delivered"/>
    <n v="7347.65"/>
  </r>
  <r>
    <x v="136"/>
    <s v="Male"/>
    <s v="Teenager"/>
    <x v="3"/>
    <d v="2023-11-15T00:00:00"/>
    <x v="136"/>
    <d v="2024-05-10T00:00:00"/>
    <x v="0"/>
    <s v="Pasta"/>
    <x v="0"/>
    <n v="3"/>
    <n v="1294.71"/>
    <x v="1"/>
    <n v="50"/>
    <d v="2025-04-11T00:00:00"/>
    <n v="161"/>
    <s v="Active"/>
    <m/>
    <d v="2025-06-15T00:00:00"/>
    <s v="Cancelled"/>
    <n v="3884.13"/>
  </r>
  <r>
    <x v="137"/>
    <s v="Female"/>
    <s v="Senior"/>
    <x v="1"/>
    <d v="2023-08-24T00:00:00"/>
    <x v="137"/>
    <d v="2024-05-10T00:00:00"/>
    <x v="0"/>
    <s v="Burger"/>
    <x v="4"/>
    <n v="5"/>
    <n v="290.25"/>
    <x v="2"/>
    <n v="29"/>
    <d v="2025-06-14T00:00:00"/>
    <n v="82"/>
    <s v="Active"/>
    <n v="1"/>
    <d v="2025-05-21T00:00:00"/>
    <s v="Delayed"/>
    <n v="1451.25"/>
  </r>
  <r>
    <x v="138"/>
    <s v="Male"/>
    <s v="Senior"/>
    <x v="4"/>
    <d v="2023-09-01T00:00:00"/>
    <x v="138"/>
    <d v="2024-05-10T00:00:00"/>
    <x v="1"/>
    <s v="Burger"/>
    <x v="0"/>
    <n v="4"/>
    <n v="539.85"/>
    <x v="1"/>
    <n v="21"/>
    <d v="2024-10-31T00:00:00"/>
    <n v="370"/>
    <s v="Active"/>
    <m/>
    <d v="2025-02-27T00:00:00"/>
    <s v="Cancelled"/>
    <n v="2159.4"/>
  </r>
  <r>
    <x v="139"/>
    <s v="Other"/>
    <s v="Teenager"/>
    <x v="2"/>
    <d v="2023-10-16T00:00:00"/>
    <x v="139"/>
    <d v="2024-05-10T00:00:00"/>
    <x v="1"/>
    <s v="Sandwich"/>
    <x v="4"/>
    <n v="1"/>
    <n v="469.04"/>
    <x v="1"/>
    <n v="14"/>
    <d v="2025-06-12T00:00:00"/>
    <n v="296"/>
    <s v="Active"/>
    <m/>
    <d v="2024-09-07T00:00:00"/>
    <s v="Cancelled"/>
    <n v="469.04"/>
  </r>
  <r>
    <x v="140"/>
    <s v="Female"/>
    <s v="Adult"/>
    <x v="4"/>
    <d v="2024-08-24T00:00:00"/>
    <x v="140"/>
    <d v="2024-05-10T00:00:00"/>
    <x v="1"/>
    <s v="Burger"/>
    <x v="1"/>
    <n v="5"/>
    <n v="448.63"/>
    <x v="0"/>
    <n v="41"/>
    <d v="2025-01-01T00:00:00"/>
    <n v="464"/>
    <s v="Active"/>
    <n v="5"/>
    <d v="2024-09-10T00:00:00"/>
    <s v="Delivered"/>
    <n v="2243.15"/>
  </r>
  <r>
    <x v="141"/>
    <s v="Female"/>
    <s v="Senior"/>
    <x v="4"/>
    <d v="2025-06-21T00:00:00"/>
    <x v="141"/>
    <d v="2024-05-10T00:00:00"/>
    <x v="4"/>
    <s v="Fries"/>
    <x v="3"/>
    <n v="4"/>
    <n v="1344.65"/>
    <x v="2"/>
    <n v="46"/>
    <d v="2025-01-28T00:00:00"/>
    <n v="307"/>
    <s v="Inactive"/>
    <n v="3"/>
    <d v="2025-07-13T00:00:00"/>
    <s v="Delivered"/>
    <n v="5378.6"/>
  </r>
  <r>
    <x v="142"/>
    <s v="Other"/>
    <s v="Adult"/>
    <x v="3"/>
    <d v="2024-12-15T00:00:00"/>
    <x v="142"/>
    <d v="2024-05-11T00:00:00"/>
    <x v="1"/>
    <s v="Pasta"/>
    <x v="0"/>
    <n v="4"/>
    <n v="949.8"/>
    <x v="1"/>
    <n v="48"/>
    <d v="2025-04-16T00:00:00"/>
    <n v="481"/>
    <s v="Active"/>
    <m/>
    <d v="2025-08-13T00:00:00"/>
    <s v="Cancelled"/>
    <n v="3799.2"/>
  </r>
  <r>
    <x v="143"/>
    <s v="Male"/>
    <s v="Senior"/>
    <x v="1"/>
    <d v="2023-08-24T00:00:00"/>
    <x v="143"/>
    <d v="2024-05-11T00:00:00"/>
    <x v="1"/>
    <s v="Fries"/>
    <x v="1"/>
    <n v="3"/>
    <n v="225.17"/>
    <x v="2"/>
    <n v="22"/>
    <d v="2025-04-28T00:00:00"/>
    <n v="489"/>
    <s v="Active"/>
    <n v="3"/>
    <d v="2024-11-04T00:00:00"/>
    <s v="Delayed"/>
    <n v="675.51"/>
  </r>
  <r>
    <x v="144"/>
    <s v="Male"/>
    <s v="Teenager"/>
    <x v="1"/>
    <d v="2024-11-21T00:00:00"/>
    <x v="144"/>
    <d v="2024-05-12T00:00:00"/>
    <x v="3"/>
    <s v="Burger"/>
    <x v="3"/>
    <n v="2"/>
    <n v="175.48"/>
    <x v="1"/>
    <n v="42"/>
    <d v="2025-05-15T00:00:00"/>
    <n v="413"/>
    <s v="Inactive"/>
    <n v="5"/>
    <d v="2025-06-29T00:00:00"/>
    <s v="Delivered"/>
    <n v="350.96"/>
  </r>
  <r>
    <x v="145"/>
    <s v="Male"/>
    <s v="Adult"/>
    <x v="3"/>
    <d v="2025-07-22T00:00:00"/>
    <x v="145"/>
    <d v="2024-05-12T00:00:00"/>
    <x v="4"/>
    <s v="Pasta"/>
    <x v="1"/>
    <n v="4"/>
    <n v="436.53"/>
    <x v="0"/>
    <n v="40"/>
    <d v="2025-07-20T00:00:00"/>
    <n v="135"/>
    <s v="Inactive"/>
    <n v="5"/>
    <d v="2024-12-07T00:00:00"/>
    <s v="Delivered"/>
    <n v="1746.12"/>
  </r>
  <r>
    <x v="146"/>
    <s v="Other"/>
    <s v="Teenager"/>
    <x v="3"/>
    <d v="2024-05-22T00:00:00"/>
    <x v="146"/>
    <d v="2024-05-12T00:00:00"/>
    <x v="4"/>
    <s v="Fries"/>
    <x v="2"/>
    <n v="1"/>
    <n v="913.2"/>
    <x v="1"/>
    <n v="19"/>
    <d v="2025-04-20T00:00:00"/>
    <n v="161"/>
    <s v="Active"/>
    <n v="3"/>
    <d v="2025-07-13T00:00:00"/>
    <s v="Delayed"/>
    <n v="913.2"/>
  </r>
  <r>
    <x v="147"/>
    <s v="Other"/>
    <s v="Senior"/>
    <x v="1"/>
    <d v="2024-02-29T00:00:00"/>
    <x v="147"/>
    <d v="2024-05-12T00:00:00"/>
    <x v="1"/>
    <s v="Fries"/>
    <x v="3"/>
    <n v="3"/>
    <n v="1222.55"/>
    <x v="1"/>
    <n v="49"/>
    <d v="2025-01-18T00:00:00"/>
    <n v="442"/>
    <s v="Active"/>
    <n v="2"/>
    <d v="2025-06-05T00:00:00"/>
    <s v="Delivered"/>
    <n v="3667.6499999999996"/>
  </r>
  <r>
    <x v="148"/>
    <s v="Male"/>
    <s v="Teenager"/>
    <x v="3"/>
    <d v="2024-03-27T00:00:00"/>
    <x v="148"/>
    <d v="2024-05-12T00:00:00"/>
    <x v="3"/>
    <s v="Burger"/>
    <x v="3"/>
    <n v="4"/>
    <n v="596.96"/>
    <x v="1"/>
    <n v="13"/>
    <d v="2025-01-08T00:00:00"/>
    <n v="235"/>
    <s v="Active"/>
    <m/>
    <d v="2025-04-27T00:00:00"/>
    <s v="Cancelled"/>
    <n v="2387.84"/>
  </r>
  <r>
    <x v="149"/>
    <s v="Female"/>
    <s v="Teenager"/>
    <x v="0"/>
    <d v="2024-03-01T00:00:00"/>
    <x v="149"/>
    <d v="2024-05-12T00:00:00"/>
    <x v="1"/>
    <s v="Fries"/>
    <x v="1"/>
    <n v="3"/>
    <n v="624.42999999999995"/>
    <x v="1"/>
    <n v="46"/>
    <d v="2025-04-02T00:00:00"/>
    <n v="47"/>
    <s v="Inactive"/>
    <n v="2"/>
    <d v="2025-02-02T00:00:00"/>
    <s v="Delivered"/>
    <n v="1873.29"/>
  </r>
  <r>
    <x v="150"/>
    <s v="Male"/>
    <s v="Adult"/>
    <x v="3"/>
    <d v="2024-09-24T00:00:00"/>
    <x v="150"/>
    <d v="2024-05-12T00:00:00"/>
    <x v="3"/>
    <s v="Pizza"/>
    <x v="3"/>
    <n v="2"/>
    <n v="508.24"/>
    <x v="0"/>
    <n v="10"/>
    <d v="2024-08-28T00:00:00"/>
    <n v="148"/>
    <s v="Active"/>
    <n v="4"/>
    <d v="2025-03-02T00:00:00"/>
    <s v="Delivered"/>
    <n v="1016.48"/>
  </r>
  <r>
    <x v="151"/>
    <s v="Other"/>
    <s v="Senior"/>
    <x v="1"/>
    <d v="2024-08-21T00:00:00"/>
    <x v="151"/>
    <d v="2024-05-12T00:00:00"/>
    <x v="1"/>
    <s v="Sandwich"/>
    <x v="2"/>
    <n v="1"/>
    <n v="1396.82"/>
    <x v="2"/>
    <n v="27"/>
    <d v="2025-06-11T00:00:00"/>
    <n v="188"/>
    <s v="Inactive"/>
    <n v="2"/>
    <d v="2024-11-29T00:00:00"/>
    <s v="Delivered"/>
    <n v="1396.82"/>
  </r>
  <r>
    <x v="152"/>
    <s v="Male"/>
    <s v="Teenager"/>
    <x v="1"/>
    <d v="2024-04-17T00:00:00"/>
    <x v="152"/>
    <d v="2024-05-12T00:00:00"/>
    <x v="1"/>
    <s v="Sandwich"/>
    <x v="4"/>
    <n v="4"/>
    <n v="891.58"/>
    <x v="0"/>
    <n v="41"/>
    <d v="2024-12-12T00:00:00"/>
    <n v="372"/>
    <s v="Active"/>
    <n v="5"/>
    <d v="2025-01-30T00:00:00"/>
    <s v="Delivered"/>
    <n v="3566.32"/>
  </r>
  <r>
    <x v="153"/>
    <s v="Male"/>
    <s v="Teenager"/>
    <x v="2"/>
    <d v="2024-01-19T00:00:00"/>
    <x v="153"/>
    <d v="2024-05-13T00:00:00"/>
    <x v="4"/>
    <s v="Pasta"/>
    <x v="3"/>
    <n v="5"/>
    <n v="1142.42"/>
    <x v="2"/>
    <n v="36"/>
    <d v="2025-05-30T00:00:00"/>
    <n v="272"/>
    <s v="Active"/>
    <n v="1"/>
    <d v="2025-01-06T00:00:00"/>
    <s v="Delayed"/>
    <n v="5712.1"/>
  </r>
  <r>
    <x v="154"/>
    <s v="Other"/>
    <s v="Teenager"/>
    <x v="2"/>
    <d v="2024-09-16T00:00:00"/>
    <x v="154"/>
    <d v="2024-05-13T00:00:00"/>
    <x v="3"/>
    <s v="Fries"/>
    <x v="3"/>
    <n v="2"/>
    <n v="1071.07"/>
    <x v="1"/>
    <n v="41"/>
    <d v="2025-06-02T00:00:00"/>
    <n v="498"/>
    <s v="Inactive"/>
    <m/>
    <d v="2024-08-24T00:00:00"/>
    <s v="Cancelled"/>
    <n v="2142.14"/>
  </r>
  <r>
    <x v="155"/>
    <s v="Female"/>
    <s v="Teenager"/>
    <x v="4"/>
    <d v="2024-09-18T00:00:00"/>
    <x v="155"/>
    <d v="2024-05-13T00:00:00"/>
    <x v="4"/>
    <s v="Pasta"/>
    <x v="4"/>
    <n v="4"/>
    <n v="1449.32"/>
    <x v="1"/>
    <n v="45"/>
    <d v="2024-11-15T00:00:00"/>
    <n v="326"/>
    <s v="Active"/>
    <n v="5"/>
    <d v="2025-01-09T00:00:00"/>
    <s v="Delivered"/>
    <n v="5797.28"/>
  </r>
  <r>
    <x v="156"/>
    <s v="Male"/>
    <s v="Teenager"/>
    <x v="4"/>
    <d v="2025-05-31T00:00:00"/>
    <x v="156"/>
    <d v="2024-05-13T00:00:00"/>
    <x v="0"/>
    <s v="Pizza"/>
    <x v="0"/>
    <n v="5"/>
    <n v="810.36"/>
    <x v="0"/>
    <n v="4"/>
    <d v="2024-09-02T00:00:00"/>
    <n v="26"/>
    <s v="Active"/>
    <n v="5"/>
    <d v="2025-05-11T00:00:00"/>
    <s v="Delivered"/>
    <n v="4051.8"/>
  </r>
  <r>
    <x v="157"/>
    <s v="Other"/>
    <s v="Senior"/>
    <x v="3"/>
    <d v="2023-08-28T00:00:00"/>
    <x v="157"/>
    <d v="2024-05-13T00:00:00"/>
    <x v="3"/>
    <s v="Pizza"/>
    <x v="3"/>
    <n v="1"/>
    <n v="872.74"/>
    <x v="1"/>
    <n v="15"/>
    <d v="2024-09-27T00:00:00"/>
    <n v="224"/>
    <s v="Active"/>
    <n v="5"/>
    <d v="2024-09-04T00:00:00"/>
    <s v="Delayed"/>
    <n v="872.74"/>
  </r>
  <r>
    <x v="158"/>
    <s v="Male"/>
    <s v="Senior"/>
    <x v="3"/>
    <d v="2025-07-26T00:00:00"/>
    <x v="158"/>
    <d v="2024-05-13T00:00:00"/>
    <x v="3"/>
    <s v="Fries"/>
    <x v="1"/>
    <n v="1"/>
    <n v="248.51"/>
    <x v="2"/>
    <n v="45"/>
    <d v="2025-08-01T00:00:00"/>
    <n v="259"/>
    <s v="Active"/>
    <m/>
    <d v="2025-06-03T00:00:00"/>
    <s v="Cancelled"/>
    <n v="248.51"/>
  </r>
  <r>
    <x v="159"/>
    <s v="Other"/>
    <s v="Teenager"/>
    <x v="2"/>
    <d v="2024-08-26T00:00:00"/>
    <x v="159"/>
    <d v="2024-05-13T00:00:00"/>
    <x v="0"/>
    <s v="Pizza"/>
    <x v="2"/>
    <n v="1"/>
    <n v="622.02"/>
    <x v="0"/>
    <n v="24"/>
    <d v="2024-09-24T00:00:00"/>
    <n v="164"/>
    <s v="Active"/>
    <m/>
    <d v="2025-01-24T00:00:00"/>
    <s v="Cancelled"/>
    <n v="622.02"/>
  </r>
  <r>
    <x v="160"/>
    <s v="Male"/>
    <s v="Teenager"/>
    <x v="0"/>
    <d v="2025-07-27T00:00:00"/>
    <x v="160"/>
    <d v="2024-05-13T00:00:00"/>
    <x v="2"/>
    <s v="Sandwich"/>
    <x v="1"/>
    <n v="3"/>
    <n v="206.84"/>
    <x v="1"/>
    <n v="3"/>
    <d v="2024-09-06T00:00:00"/>
    <n v="141"/>
    <s v="Inactive"/>
    <n v="1"/>
    <d v="2024-12-30T00:00:00"/>
    <s v="Delivered"/>
    <n v="620.52"/>
  </r>
  <r>
    <x v="161"/>
    <s v="Male"/>
    <s v="Teenager"/>
    <x v="1"/>
    <d v="2023-11-14T00:00:00"/>
    <x v="161"/>
    <d v="2024-05-13T00:00:00"/>
    <x v="3"/>
    <s v="Pasta"/>
    <x v="1"/>
    <n v="2"/>
    <n v="1433.02"/>
    <x v="2"/>
    <n v="33"/>
    <d v="2024-09-02T00:00:00"/>
    <n v="469"/>
    <s v="Active"/>
    <n v="4"/>
    <d v="2024-09-14T00:00:00"/>
    <s v="Delayed"/>
    <n v="2866.04"/>
  </r>
  <r>
    <x v="162"/>
    <s v="Other"/>
    <s v="Senior"/>
    <x v="3"/>
    <d v="2024-09-18T00:00:00"/>
    <x v="162"/>
    <d v="2024-05-14T00:00:00"/>
    <x v="2"/>
    <s v="Pasta"/>
    <x v="2"/>
    <n v="4"/>
    <n v="1229.6199999999999"/>
    <x v="0"/>
    <n v="23"/>
    <d v="2024-12-26T00:00:00"/>
    <n v="495"/>
    <s v="Active"/>
    <n v="4"/>
    <d v="2024-09-28T00:00:00"/>
    <s v="Delivered"/>
    <n v="4918.4799999999996"/>
  </r>
  <r>
    <x v="163"/>
    <s v="Male"/>
    <s v="Senior"/>
    <x v="3"/>
    <d v="2024-07-23T00:00:00"/>
    <x v="163"/>
    <d v="2024-05-14T00:00:00"/>
    <x v="1"/>
    <s v="Pasta"/>
    <x v="0"/>
    <n v="1"/>
    <n v="156.71"/>
    <x v="0"/>
    <n v="29"/>
    <d v="2025-07-20T00:00:00"/>
    <n v="486"/>
    <s v="Active"/>
    <n v="3"/>
    <d v="2025-07-27T00:00:00"/>
    <s v="Delivered"/>
    <n v="156.71"/>
  </r>
  <r>
    <x v="164"/>
    <s v="Female"/>
    <s v="Teenager"/>
    <x v="3"/>
    <d v="2024-09-08T00:00:00"/>
    <x v="164"/>
    <d v="2024-05-14T00:00:00"/>
    <x v="2"/>
    <s v="Fries"/>
    <x v="2"/>
    <n v="1"/>
    <n v="852.45"/>
    <x v="1"/>
    <n v="17"/>
    <d v="2024-09-14T00:00:00"/>
    <n v="184"/>
    <s v="Inactive"/>
    <n v="5"/>
    <d v="2025-07-04T00:00:00"/>
    <s v="Delivered"/>
    <n v="852.45"/>
  </r>
  <r>
    <x v="165"/>
    <s v="Other"/>
    <s v="Senior"/>
    <x v="2"/>
    <d v="2024-08-05T00:00:00"/>
    <x v="165"/>
    <d v="2024-05-14T00:00:00"/>
    <x v="0"/>
    <s v="Sandwich"/>
    <x v="2"/>
    <n v="5"/>
    <n v="1273.03"/>
    <x v="0"/>
    <n v="17"/>
    <d v="2025-05-19T00:00:00"/>
    <n v="309"/>
    <s v="Active"/>
    <n v="2"/>
    <d v="2025-07-05T00:00:00"/>
    <s v="Delivered"/>
    <n v="6365.15"/>
  </r>
  <r>
    <x v="166"/>
    <s v="Female"/>
    <s v="Adult"/>
    <x v="1"/>
    <d v="2024-05-20T00:00:00"/>
    <x v="166"/>
    <d v="2024-05-14T00:00:00"/>
    <x v="1"/>
    <s v="Burger"/>
    <x v="3"/>
    <n v="2"/>
    <n v="1392.19"/>
    <x v="0"/>
    <n v="31"/>
    <d v="2025-01-14T00:00:00"/>
    <n v="192"/>
    <s v="Active"/>
    <n v="2"/>
    <d v="2024-11-24T00:00:00"/>
    <s v="Delivered"/>
    <n v="2784.38"/>
  </r>
  <r>
    <x v="167"/>
    <s v="Other"/>
    <s v="Teenager"/>
    <x v="1"/>
    <d v="2024-06-16T00:00:00"/>
    <x v="167"/>
    <d v="2024-05-14T00:00:00"/>
    <x v="0"/>
    <s v="Pizza"/>
    <x v="4"/>
    <n v="2"/>
    <n v="929.17"/>
    <x v="0"/>
    <n v="24"/>
    <d v="2025-07-14T00:00:00"/>
    <n v="309"/>
    <s v="Active"/>
    <n v="3"/>
    <d v="2025-06-24T00:00:00"/>
    <s v="Delayed"/>
    <n v="1858.34"/>
  </r>
  <r>
    <x v="168"/>
    <s v="Male"/>
    <s v="Adult"/>
    <x v="1"/>
    <d v="2025-02-22T00:00:00"/>
    <x v="168"/>
    <d v="2024-05-14T00:00:00"/>
    <x v="4"/>
    <s v="Fries"/>
    <x v="4"/>
    <n v="4"/>
    <n v="817.38"/>
    <x v="2"/>
    <n v="26"/>
    <d v="2025-04-24T00:00:00"/>
    <n v="132"/>
    <s v="Inactive"/>
    <n v="4"/>
    <d v="2025-05-07T00:00:00"/>
    <s v="Delivered"/>
    <n v="3269.52"/>
  </r>
  <r>
    <x v="169"/>
    <s v="Male"/>
    <s v="Adult"/>
    <x v="3"/>
    <d v="2024-06-11T00:00:00"/>
    <x v="169"/>
    <d v="2024-05-14T00:00:00"/>
    <x v="4"/>
    <s v="Pasta"/>
    <x v="1"/>
    <n v="5"/>
    <n v="1395.78"/>
    <x v="2"/>
    <n v="23"/>
    <d v="2025-08-20T00:00:00"/>
    <n v="101"/>
    <s v="Active"/>
    <m/>
    <d v="2025-06-12T00:00:00"/>
    <s v="Cancelled"/>
    <n v="6978.9"/>
  </r>
  <r>
    <x v="170"/>
    <s v="Female"/>
    <s v="Teenager"/>
    <x v="1"/>
    <d v="2024-02-09T00:00:00"/>
    <x v="170"/>
    <d v="2024-05-14T00:00:00"/>
    <x v="3"/>
    <s v="Burger"/>
    <x v="1"/>
    <n v="5"/>
    <n v="1175.49"/>
    <x v="2"/>
    <n v="7"/>
    <d v="2024-10-18T00:00:00"/>
    <n v="71"/>
    <s v="Active"/>
    <m/>
    <d v="2024-09-18T00:00:00"/>
    <s v="Cancelled"/>
    <n v="5877.45"/>
  </r>
  <r>
    <x v="171"/>
    <s v="Other"/>
    <s v="Senior"/>
    <x v="1"/>
    <d v="2025-03-17T00:00:00"/>
    <x v="171"/>
    <d v="2024-05-14T00:00:00"/>
    <x v="1"/>
    <s v="Fries"/>
    <x v="0"/>
    <n v="5"/>
    <n v="1149.76"/>
    <x v="0"/>
    <n v="40"/>
    <d v="2024-09-24T00:00:00"/>
    <n v="25"/>
    <s v="Active"/>
    <n v="1"/>
    <d v="2025-02-20T00:00:00"/>
    <s v="Delivered"/>
    <n v="5748.8"/>
  </r>
  <r>
    <x v="172"/>
    <s v="Male"/>
    <s v="Adult"/>
    <x v="2"/>
    <d v="2025-04-18T00:00:00"/>
    <x v="172"/>
    <d v="2024-05-15T00:00:00"/>
    <x v="4"/>
    <s v="Pizza"/>
    <x v="4"/>
    <n v="4"/>
    <n v="505.52"/>
    <x v="2"/>
    <n v="21"/>
    <d v="2024-10-25T00:00:00"/>
    <n v="276"/>
    <s v="Inactive"/>
    <n v="5"/>
    <d v="2025-02-10T00:00:00"/>
    <s v="Delayed"/>
    <n v="2022.08"/>
  </r>
  <r>
    <x v="173"/>
    <s v="Other"/>
    <s v="Adult"/>
    <x v="0"/>
    <d v="2024-09-02T00:00:00"/>
    <x v="173"/>
    <d v="2024-05-15T00:00:00"/>
    <x v="4"/>
    <s v="Fries"/>
    <x v="1"/>
    <n v="4"/>
    <n v="1016.79"/>
    <x v="0"/>
    <n v="1"/>
    <d v="2024-10-17T00:00:00"/>
    <n v="310"/>
    <s v="Inactive"/>
    <n v="5"/>
    <d v="2025-05-06T00:00:00"/>
    <s v="Delayed"/>
    <n v="4067.16"/>
  </r>
  <r>
    <x v="174"/>
    <s v="Other"/>
    <s v="Teenager"/>
    <x v="2"/>
    <d v="2024-09-24T00:00:00"/>
    <x v="174"/>
    <d v="2024-05-15T00:00:00"/>
    <x v="2"/>
    <s v="Pasta"/>
    <x v="0"/>
    <n v="1"/>
    <n v="1044.8900000000001"/>
    <x v="0"/>
    <n v="40"/>
    <d v="2025-04-23T00:00:00"/>
    <n v="217"/>
    <s v="Active"/>
    <n v="2"/>
    <d v="2024-10-24T00:00:00"/>
    <s v="Delivered"/>
    <n v="1044.8900000000001"/>
  </r>
  <r>
    <x v="175"/>
    <s v="Other"/>
    <s v="Senior"/>
    <x v="0"/>
    <d v="2025-02-04T00:00:00"/>
    <x v="175"/>
    <d v="2024-05-15T00:00:00"/>
    <x v="2"/>
    <s v="Burger"/>
    <x v="1"/>
    <n v="3"/>
    <n v="699.07"/>
    <x v="0"/>
    <n v="38"/>
    <d v="2025-05-20T00:00:00"/>
    <n v="304"/>
    <s v="Inactive"/>
    <n v="4"/>
    <d v="2025-02-21T00:00:00"/>
    <s v="Delayed"/>
    <n v="2097.21"/>
  </r>
  <r>
    <x v="176"/>
    <s v="Other"/>
    <s v="Senior"/>
    <x v="4"/>
    <d v="2025-04-10T00:00:00"/>
    <x v="176"/>
    <d v="2024-05-15T00:00:00"/>
    <x v="4"/>
    <s v="Sandwich"/>
    <x v="2"/>
    <n v="4"/>
    <n v="1239.29"/>
    <x v="0"/>
    <n v="32"/>
    <d v="2024-10-19T00:00:00"/>
    <n v="141"/>
    <s v="Active"/>
    <n v="1"/>
    <d v="2025-03-13T00:00:00"/>
    <s v="Delivered"/>
    <n v="4957.16"/>
  </r>
  <r>
    <x v="177"/>
    <s v="Female"/>
    <s v="Teenager"/>
    <x v="2"/>
    <d v="2023-08-22T00:00:00"/>
    <x v="177"/>
    <d v="2024-05-15T00:00:00"/>
    <x v="0"/>
    <s v="Burger"/>
    <x v="3"/>
    <n v="2"/>
    <n v="545.14"/>
    <x v="1"/>
    <n v="10"/>
    <d v="2024-12-16T00:00:00"/>
    <n v="35"/>
    <s v="Active"/>
    <m/>
    <d v="2025-03-17T00:00:00"/>
    <s v="Cancelled"/>
    <n v="1090.28"/>
  </r>
  <r>
    <x v="178"/>
    <s v="Male"/>
    <s v="Adult"/>
    <x v="2"/>
    <d v="2025-07-20T00:00:00"/>
    <x v="178"/>
    <d v="2024-05-15T00:00:00"/>
    <x v="3"/>
    <s v="Burger"/>
    <x v="4"/>
    <n v="1"/>
    <n v="1029.8900000000001"/>
    <x v="0"/>
    <n v="12"/>
    <d v="2025-03-18T00:00:00"/>
    <n v="115"/>
    <s v="Active"/>
    <n v="2"/>
    <d v="2025-02-03T00:00:00"/>
    <s v="Delivered"/>
    <n v="1029.8900000000001"/>
  </r>
  <r>
    <x v="179"/>
    <s v="Male"/>
    <s v="Senior"/>
    <x v="4"/>
    <d v="2023-11-17T00:00:00"/>
    <x v="179"/>
    <d v="2024-05-16T00:00:00"/>
    <x v="2"/>
    <s v="Burger"/>
    <x v="4"/>
    <n v="2"/>
    <n v="1463.74"/>
    <x v="1"/>
    <n v="9"/>
    <d v="2025-07-06T00:00:00"/>
    <n v="281"/>
    <s v="Active"/>
    <m/>
    <d v="2025-02-27T00:00:00"/>
    <s v="Cancelled"/>
    <n v="2927.48"/>
  </r>
  <r>
    <x v="180"/>
    <s v="Female"/>
    <s v="Teenager"/>
    <x v="4"/>
    <d v="2024-05-24T00:00:00"/>
    <x v="180"/>
    <d v="2024-05-16T00:00:00"/>
    <x v="0"/>
    <s v="Pizza"/>
    <x v="4"/>
    <n v="3"/>
    <n v="168.76"/>
    <x v="1"/>
    <n v="30"/>
    <d v="2025-03-24T00:00:00"/>
    <n v="258"/>
    <s v="Active"/>
    <n v="4"/>
    <d v="2025-01-21T00:00:00"/>
    <s v="Delivered"/>
    <n v="506.28"/>
  </r>
  <r>
    <x v="181"/>
    <s v="Other"/>
    <s v="Teenager"/>
    <x v="4"/>
    <d v="2023-09-26T00:00:00"/>
    <x v="181"/>
    <d v="2024-05-16T00:00:00"/>
    <x v="4"/>
    <s v="Fries"/>
    <x v="0"/>
    <n v="3"/>
    <n v="655"/>
    <x v="0"/>
    <n v="25"/>
    <d v="2025-03-18T00:00:00"/>
    <n v="19"/>
    <s v="Active"/>
    <n v="2"/>
    <d v="2025-08-01T00:00:00"/>
    <s v="Delivered"/>
    <n v="1965"/>
  </r>
  <r>
    <x v="182"/>
    <s v="Male"/>
    <s v="Teenager"/>
    <x v="4"/>
    <d v="2025-07-26T00:00:00"/>
    <x v="182"/>
    <d v="2024-05-16T00:00:00"/>
    <x v="2"/>
    <s v="Sandwich"/>
    <x v="0"/>
    <n v="3"/>
    <n v="1040.5999999999999"/>
    <x v="0"/>
    <n v="39"/>
    <d v="2024-12-11T00:00:00"/>
    <n v="484"/>
    <s v="Inactive"/>
    <n v="3"/>
    <d v="2024-09-19T00:00:00"/>
    <s v="Delayed"/>
    <n v="3121.7999999999997"/>
  </r>
  <r>
    <x v="183"/>
    <s v="Other"/>
    <s v="Senior"/>
    <x v="4"/>
    <d v="2024-05-19T00:00:00"/>
    <x v="183"/>
    <d v="2024-05-16T00:00:00"/>
    <x v="3"/>
    <s v="Burger"/>
    <x v="2"/>
    <n v="1"/>
    <n v="1287.1400000000001"/>
    <x v="2"/>
    <n v="17"/>
    <d v="2025-01-04T00:00:00"/>
    <n v="325"/>
    <s v="Active"/>
    <n v="4"/>
    <d v="2025-04-24T00:00:00"/>
    <s v="Delivered"/>
    <n v="1287.1400000000001"/>
  </r>
  <r>
    <x v="184"/>
    <s v="Female"/>
    <s v="Adult"/>
    <x v="2"/>
    <d v="2025-08-05T00:00:00"/>
    <x v="184"/>
    <d v="2024-05-16T00:00:00"/>
    <x v="3"/>
    <s v="Fries"/>
    <x v="3"/>
    <n v="2"/>
    <n v="539.63"/>
    <x v="1"/>
    <n v="5"/>
    <d v="2025-07-17T00:00:00"/>
    <n v="114"/>
    <s v="Inactive"/>
    <n v="4"/>
    <d v="2025-07-03T00:00:00"/>
    <s v="Delivered"/>
    <n v="1079.26"/>
  </r>
  <r>
    <x v="185"/>
    <s v="Other"/>
    <s v="Adult"/>
    <x v="1"/>
    <d v="2025-04-13T00:00:00"/>
    <x v="185"/>
    <d v="2024-05-16T00:00:00"/>
    <x v="4"/>
    <s v="Burger"/>
    <x v="4"/>
    <n v="4"/>
    <n v="937.88"/>
    <x v="0"/>
    <n v="41"/>
    <d v="2025-05-30T00:00:00"/>
    <n v="197"/>
    <s v="Active"/>
    <n v="1"/>
    <d v="2025-01-25T00:00:00"/>
    <s v="Delayed"/>
    <n v="3751.52"/>
  </r>
  <r>
    <x v="186"/>
    <s v="Female"/>
    <s v="Senior"/>
    <x v="3"/>
    <d v="2023-11-03T00:00:00"/>
    <x v="186"/>
    <d v="2024-05-16T00:00:00"/>
    <x v="2"/>
    <s v="Burger"/>
    <x v="3"/>
    <n v="4"/>
    <n v="206.27"/>
    <x v="2"/>
    <n v="15"/>
    <d v="2025-07-15T00:00:00"/>
    <n v="454"/>
    <s v="Active"/>
    <n v="3"/>
    <d v="2024-10-28T00:00:00"/>
    <s v="Delayed"/>
    <n v="825.08"/>
  </r>
  <r>
    <x v="187"/>
    <s v="Female"/>
    <s v="Teenager"/>
    <x v="4"/>
    <d v="2023-09-15T00:00:00"/>
    <x v="187"/>
    <d v="2024-05-16T00:00:00"/>
    <x v="3"/>
    <s v="Sandwich"/>
    <x v="0"/>
    <n v="1"/>
    <n v="654.29999999999995"/>
    <x v="2"/>
    <n v="15"/>
    <d v="2025-04-01T00:00:00"/>
    <n v="423"/>
    <s v="Active"/>
    <n v="5"/>
    <d v="2024-09-08T00:00:00"/>
    <s v="Delivered"/>
    <n v="654.29999999999995"/>
  </r>
  <r>
    <x v="188"/>
    <s v="Female"/>
    <s v="Senior"/>
    <x v="1"/>
    <d v="2024-11-19T00:00:00"/>
    <x v="188"/>
    <d v="2024-05-17T00:00:00"/>
    <x v="2"/>
    <s v="Pasta"/>
    <x v="0"/>
    <n v="1"/>
    <n v="510.62"/>
    <x v="0"/>
    <n v="31"/>
    <d v="2025-06-08T00:00:00"/>
    <n v="500"/>
    <s v="Inactive"/>
    <m/>
    <d v="2024-09-25T00:00:00"/>
    <s v="Cancelled"/>
    <n v="510.62"/>
  </r>
  <r>
    <x v="189"/>
    <s v="Male"/>
    <s v="Teenager"/>
    <x v="0"/>
    <d v="2025-04-10T00:00:00"/>
    <x v="189"/>
    <d v="2024-05-17T00:00:00"/>
    <x v="2"/>
    <s v="Fries"/>
    <x v="0"/>
    <n v="1"/>
    <n v="897.57"/>
    <x v="2"/>
    <n v="14"/>
    <d v="2025-03-27T00:00:00"/>
    <n v="216"/>
    <s v="Active"/>
    <n v="1"/>
    <d v="2025-01-09T00:00:00"/>
    <s v="Delivered"/>
    <n v="897.57"/>
  </r>
  <r>
    <x v="190"/>
    <s v="Male"/>
    <s v="Senior"/>
    <x v="0"/>
    <d v="2024-05-07T00:00:00"/>
    <x v="190"/>
    <d v="2024-05-17T00:00:00"/>
    <x v="2"/>
    <s v="Sandwich"/>
    <x v="3"/>
    <n v="1"/>
    <n v="497.43"/>
    <x v="1"/>
    <n v="29"/>
    <d v="2025-05-23T00:00:00"/>
    <n v="152"/>
    <s v="Active"/>
    <m/>
    <d v="2025-01-26T00:00:00"/>
    <s v="Cancelled"/>
    <n v="497.43"/>
  </r>
  <r>
    <x v="191"/>
    <s v="Male"/>
    <s v="Teenager"/>
    <x v="1"/>
    <d v="2025-02-22T00:00:00"/>
    <x v="191"/>
    <d v="2024-05-17T00:00:00"/>
    <x v="2"/>
    <s v="Burger"/>
    <x v="2"/>
    <n v="1"/>
    <n v="1383.4"/>
    <x v="1"/>
    <n v="11"/>
    <d v="2025-04-26T00:00:00"/>
    <n v="261"/>
    <s v="Inactive"/>
    <n v="3"/>
    <d v="2025-05-17T00:00:00"/>
    <s v="Delayed"/>
    <n v="1383.4"/>
  </r>
  <r>
    <x v="192"/>
    <s v="Other"/>
    <s v="Adult"/>
    <x v="2"/>
    <d v="2025-02-25T00:00:00"/>
    <x v="192"/>
    <d v="2024-05-17T00:00:00"/>
    <x v="4"/>
    <s v="Pizza"/>
    <x v="2"/>
    <n v="4"/>
    <n v="467.7"/>
    <x v="2"/>
    <n v="34"/>
    <d v="2025-07-10T00:00:00"/>
    <n v="385"/>
    <s v="Inactive"/>
    <m/>
    <d v="2025-08-21T00:00:00"/>
    <s v="Cancelled"/>
    <n v="1870.8"/>
  </r>
  <r>
    <x v="193"/>
    <s v="Other"/>
    <s v="Adult"/>
    <x v="2"/>
    <d v="2024-12-11T00:00:00"/>
    <x v="193"/>
    <d v="2024-05-17T00:00:00"/>
    <x v="3"/>
    <s v="Pizza"/>
    <x v="1"/>
    <n v="5"/>
    <n v="1498.72"/>
    <x v="0"/>
    <n v="42"/>
    <d v="2025-05-02T00:00:00"/>
    <n v="70"/>
    <s v="Active"/>
    <n v="2"/>
    <d v="2025-04-29T00:00:00"/>
    <s v="Delayed"/>
    <n v="7493.6"/>
  </r>
  <r>
    <x v="194"/>
    <s v="Other"/>
    <s v="Adult"/>
    <x v="4"/>
    <d v="2024-10-05T00:00:00"/>
    <x v="194"/>
    <d v="2024-05-17T00:00:00"/>
    <x v="1"/>
    <s v="Burger"/>
    <x v="3"/>
    <n v="3"/>
    <n v="382.54"/>
    <x v="0"/>
    <n v="33"/>
    <d v="2024-11-16T00:00:00"/>
    <n v="322"/>
    <s v="Inactive"/>
    <n v="4"/>
    <d v="2024-10-06T00:00:00"/>
    <s v="Delivered"/>
    <n v="1147.6200000000001"/>
  </r>
  <r>
    <x v="195"/>
    <s v="Female"/>
    <s v="Senior"/>
    <x v="3"/>
    <d v="2025-08-04T00:00:00"/>
    <x v="195"/>
    <d v="2024-05-17T00:00:00"/>
    <x v="3"/>
    <s v="Fries"/>
    <x v="4"/>
    <n v="2"/>
    <n v="903.71"/>
    <x v="1"/>
    <n v="18"/>
    <d v="2025-08-20T00:00:00"/>
    <n v="143"/>
    <s v="Inactive"/>
    <n v="1"/>
    <d v="2024-12-22T00:00:00"/>
    <s v="Delivered"/>
    <n v="1807.42"/>
  </r>
  <r>
    <x v="196"/>
    <s v="Male"/>
    <s v="Teenager"/>
    <x v="0"/>
    <d v="2024-05-13T00:00:00"/>
    <x v="196"/>
    <d v="2024-05-17T00:00:00"/>
    <x v="3"/>
    <s v="Fries"/>
    <x v="2"/>
    <n v="5"/>
    <n v="245.91"/>
    <x v="1"/>
    <n v="23"/>
    <d v="2024-10-09T00:00:00"/>
    <n v="17"/>
    <s v="Inactive"/>
    <n v="2"/>
    <d v="2025-02-20T00:00:00"/>
    <s v="Delivered"/>
    <n v="1229.55"/>
  </r>
  <r>
    <x v="197"/>
    <s v="Other"/>
    <s v="Adult"/>
    <x v="4"/>
    <d v="2025-07-16T00:00:00"/>
    <x v="197"/>
    <d v="2024-05-18T00:00:00"/>
    <x v="1"/>
    <s v="Sandwich"/>
    <x v="1"/>
    <n v="3"/>
    <n v="573.79"/>
    <x v="2"/>
    <n v="42"/>
    <d v="2025-06-11T00:00:00"/>
    <n v="26"/>
    <s v="Active"/>
    <n v="5"/>
    <d v="2025-07-17T00:00:00"/>
    <s v="Delayed"/>
    <n v="1721.37"/>
  </r>
  <r>
    <x v="198"/>
    <s v="Male"/>
    <s v="Teenager"/>
    <x v="4"/>
    <d v="2023-10-19T00:00:00"/>
    <x v="198"/>
    <d v="2024-05-18T00:00:00"/>
    <x v="1"/>
    <s v="Pasta"/>
    <x v="0"/>
    <n v="1"/>
    <n v="982.15"/>
    <x v="0"/>
    <n v="50"/>
    <d v="2025-02-18T00:00:00"/>
    <n v="376"/>
    <s v="Inactive"/>
    <m/>
    <d v="2025-07-24T00:00:00"/>
    <s v="Cancelled"/>
    <n v="982.15"/>
  </r>
  <r>
    <x v="199"/>
    <s v="Female"/>
    <s v="Senior"/>
    <x v="2"/>
    <d v="2023-09-05T00:00:00"/>
    <x v="199"/>
    <d v="2024-05-18T00:00:00"/>
    <x v="2"/>
    <s v="Burger"/>
    <x v="2"/>
    <n v="2"/>
    <n v="1200.8399999999999"/>
    <x v="2"/>
    <n v="2"/>
    <d v="2025-05-08T00:00:00"/>
    <n v="134"/>
    <s v="Active"/>
    <n v="4"/>
    <d v="2024-12-21T00:00:00"/>
    <s v="Delayed"/>
    <n v="2401.6799999999998"/>
  </r>
  <r>
    <x v="200"/>
    <s v="Female"/>
    <s v="Adult"/>
    <x v="2"/>
    <d v="2025-02-25T00:00:00"/>
    <x v="200"/>
    <d v="2024-05-18T00:00:00"/>
    <x v="1"/>
    <s v="Fries"/>
    <x v="0"/>
    <n v="3"/>
    <n v="1341.7"/>
    <x v="1"/>
    <n v="30"/>
    <d v="2025-06-12T00:00:00"/>
    <n v="277"/>
    <s v="Active"/>
    <n v="1"/>
    <d v="2025-04-03T00:00:00"/>
    <s v="Delivered"/>
    <n v="4025.1000000000004"/>
  </r>
  <r>
    <x v="201"/>
    <s v="Male"/>
    <s v="Teenager"/>
    <x v="3"/>
    <d v="2024-06-20T00:00:00"/>
    <x v="201"/>
    <d v="2024-05-18T00:00:00"/>
    <x v="3"/>
    <s v="Fries"/>
    <x v="4"/>
    <n v="3"/>
    <n v="313.86"/>
    <x v="0"/>
    <n v="21"/>
    <d v="2024-10-15T00:00:00"/>
    <n v="295"/>
    <s v="Active"/>
    <n v="1"/>
    <d v="2025-01-26T00:00:00"/>
    <s v="Delayed"/>
    <n v="941.58"/>
  </r>
  <r>
    <x v="202"/>
    <s v="Male"/>
    <s v="Adult"/>
    <x v="0"/>
    <d v="2024-01-01T00:00:00"/>
    <x v="202"/>
    <d v="2024-05-18T00:00:00"/>
    <x v="4"/>
    <s v="Fries"/>
    <x v="0"/>
    <n v="5"/>
    <n v="908.05"/>
    <x v="2"/>
    <n v="44"/>
    <d v="2025-03-01T00:00:00"/>
    <n v="336"/>
    <s v="Inactive"/>
    <n v="1"/>
    <d v="2024-12-23T00:00:00"/>
    <s v="Delivered"/>
    <n v="4540.25"/>
  </r>
  <r>
    <x v="203"/>
    <s v="Female"/>
    <s v="Senior"/>
    <x v="3"/>
    <d v="2024-08-19T00:00:00"/>
    <x v="203"/>
    <d v="2024-05-18T00:00:00"/>
    <x v="3"/>
    <s v="Sandwich"/>
    <x v="2"/>
    <n v="1"/>
    <n v="841.93"/>
    <x v="0"/>
    <n v="26"/>
    <d v="2025-04-11T00:00:00"/>
    <n v="449"/>
    <s v="Inactive"/>
    <n v="5"/>
    <d v="2025-03-31T00:00:00"/>
    <s v="Delayed"/>
    <n v="841.93"/>
  </r>
  <r>
    <x v="204"/>
    <s v="Other"/>
    <s v="Senior"/>
    <x v="2"/>
    <d v="2025-01-13T00:00:00"/>
    <x v="204"/>
    <d v="2024-05-18T00:00:00"/>
    <x v="2"/>
    <s v="Burger"/>
    <x v="1"/>
    <n v="3"/>
    <n v="187.21"/>
    <x v="1"/>
    <n v="6"/>
    <d v="2025-01-13T00:00:00"/>
    <n v="5"/>
    <s v="Inactive"/>
    <n v="2"/>
    <d v="2024-11-14T00:00:00"/>
    <s v="Delivered"/>
    <n v="561.63"/>
  </r>
  <r>
    <x v="205"/>
    <s v="Male"/>
    <s v="Adult"/>
    <x v="2"/>
    <d v="2024-06-05T00:00:00"/>
    <x v="205"/>
    <d v="2024-05-18T00:00:00"/>
    <x v="4"/>
    <s v="Fries"/>
    <x v="1"/>
    <n v="2"/>
    <n v="1266.83"/>
    <x v="0"/>
    <n v="3"/>
    <d v="2025-07-03T00:00:00"/>
    <n v="51"/>
    <s v="Active"/>
    <n v="5"/>
    <d v="2025-04-10T00:00:00"/>
    <s v="Delivered"/>
    <n v="2533.66"/>
  </r>
  <r>
    <x v="206"/>
    <s v="Other"/>
    <s v="Senior"/>
    <x v="4"/>
    <d v="2024-08-26T00:00:00"/>
    <x v="206"/>
    <d v="2024-05-18T00:00:00"/>
    <x v="0"/>
    <s v="Pasta"/>
    <x v="4"/>
    <n v="5"/>
    <n v="663.78"/>
    <x v="0"/>
    <n v="32"/>
    <d v="2025-05-27T00:00:00"/>
    <n v="153"/>
    <s v="Active"/>
    <n v="4"/>
    <d v="2025-05-03T00:00:00"/>
    <s v="Delivered"/>
    <n v="3318.8999999999996"/>
  </r>
  <r>
    <x v="207"/>
    <s v="Female"/>
    <s v="Teenager"/>
    <x v="2"/>
    <d v="2025-06-25T00:00:00"/>
    <x v="207"/>
    <d v="2024-05-18T00:00:00"/>
    <x v="0"/>
    <s v="Fries"/>
    <x v="1"/>
    <n v="1"/>
    <n v="1411.3"/>
    <x v="2"/>
    <n v="17"/>
    <d v="2025-03-03T00:00:00"/>
    <n v="249"/>
    <s v="Inactive"/>
    <n v="3"/>
    <d v="2025-02-16T00:00:00"/>
    <s v="Delivered"/>
    <n v="1411.3"/>
  </r>
  <r>
    <x v="208"/>
    <s v="Male"/>
    <s v="Adult"/>
    <x v="4"/>
    <d v="2024-10-24T00:00:00"/>
    <x v="208"/>
    <d v="2024-05-18T00:00:00"/>
    <x v="4"/>
    <s v="Sandwich"/>
    <x v="2"/>
    <n v="2"/>
    <n v="690.46"/>
    <x v="2"/>
    <n v="26"/>
    <d v="2025-07-11T00:00:00"/>
    <n v="214"/>
    <s v="Inactive"/>
    <n v="1"/>
    <d v="2025-05-20T00:00:00"/>
    <s v="Delivered"/>
    <n v="1380.92"/>
  </r>
  <r>
    <x v="209"/>
    <s v="Female"/>
    <s v="Teenager"/>
    <x v="1"/>
    <d v="2024-01-03T00:00:00"/>
    <x v="209"/>
    <d v="2024-05-18T00:00:00"/>
    <x v="2"/>
    <s v="Burger"/>
    <x v="3"/>
    <n v="3"/>
    <n v="340.31"/>
    <x v="0"/>
    <n v="26"/>
    <d v="2025-04-25T00:00:00"/>
    <n v="268"/>
    <s v="Inactive"/>
    <n v="5"/>
    <d v="2024-09-20T00:00:00"/>
    <s v="Delayed"/>
    <n v="1020.9300000000001"/>
  </r>
  <r>
    <x v="210"/>
    <s v="Female"/>
    <s v="Senior"/>
    <x v="1"/>
    <d v="2025-04-27T00:00:00"/>
    <x v="210"/>
    <d v="2024-05-19T00:00:00"/>
    <x v="3"/>
    <s v="Pizza"/>
    <x v="1"/>
    <n v="2"/>
    <n v="381.61"/>
    <x v="2"/>
    <n v="46"/>
    <d v="2025-01-19T00:00:00"/>
    <n v="53"/>
    <s v="Active"/>
    <m/>
    <d v="2025-03-21T00:00:00"/>
    <s v="Cancelled"/>
    <n v="763.22"/>
  </r>
  <r>
    <x v="211"/>
    <s v="Female"/>
    <s v="Adult"/>
    <x v="2"/>
    <d v="2023-11-21T00:00:00"/>
    <x v="211"/>
    <d v="2024-05-19T00:00:00"/>
    <x v="0"/>
    <s v="Burger"/>
    <x v="3"/>
    <n v="5"/>
    <n v="153.93"/>
    <x v="1"/>
    <n v="17"/>
    <d v="2025-02-07T00:00:00"/>
    <n v="486"/>
    <s v="Inactive"/>
    <n v="5"/>
    <d v="2024-10-12T00:00:00"/>
    <s v="Delivered"/>
    <n v="769.65000000000009"/>
  </r>
  <r>
    <x v="212"/>
    <s v="Male"/>
    <s v="Senior"/>
    <x v="3"/>
    <d v="2024-08-03T00:00:00"/>
    <x v="212"/>
    <d v="2024-05-19T00:00:00"/>
    <x v="4"/>
    <s v="Pasta"/>
    <x v="0"/>
    <n v="2"/>
    <n v="1416.53"/>
    <x v="0"/>
    <n v="20"/>
    <d v="2025-05-28T00:00:00"/>
    <n v="15"/>
    <s v="Active"/>
    <m/>
    <d v="2025-02-19T00:00:00"/>
    <s v="Cancelled"/>
    <n v="2833.06"/>
  </r>
  <r>
    <x v="213"/>
    <s v="Other"/>
    <s v="Teenager"/>
    <x v="3"/>
    <d v="2025-06-01T00:00:00"/>
    <x v="213"/>
    <d v="2024-05-19T00:00:00"/>
    <x v="2"/>
    <s v="Pizza"/>
    <x v="3"/>
    <n v="3"/>
    <n v="533.83000000000004"/>
    <x v="2"/>
    <n v="29"/>
    <d v="2024-12-11T00:00:00"/>
    <n v="379"/>
    <s v="Active"/>
    <n v="1"/>
    <d v="2025-04-23T00:00:00"/>
    <s v="Delayed"/>
    <n v="1601.4900000000002"/>
  </r>
  <r>
    <x v="214"/>
    <s v="Other"/>
    <s v="Teenager"/>
    <x v="2"/>
    <d v="2023-09-29T00:00:00"/>
    <x v="214"/>
    <d v="2024-05-19T00:00:00"/>
    <x v="0"/>
    <s v="Pasta"/>
    <x v="0"/>
    <n v="1"/>
    <n v="1058.71"/>
    <x v="1"/>
    <n v="6"/>
    <d v="2024-09-06T00:00:00"/>
    <n v="67"/>
    <s v="Inactive"/>
    <n v="5"/>
    <d v="2024-10-12T00:00:00"/>
    <s v="Delayed"/>
    <n v="1058.71"/>
  </r>
  <r>
    <x v="215"/>
    <s v="Male"/>
    <s v="Teenager"/>
    <x v="3"/>
    <d v="2025-07-29T00:00:00"/>
    <x v="215"/>
    <d v="2024-05-19T00:00:00"/>
    <x v="2"/>
    <s v="Pasta"/>
    <x v="0"/>
    <n v="5"/>
    <n v="252.54"/>
    <x v="0"/>
    <n v="44"/>
    <d v="2025-06-09T00:00:00"/>
    <n v="398"/>
    <s v="Active"/>
    <n v="5"/>
    <d v="2025-02-25T00:00:00"/>
    <s v="Delivered"/>
    <n v="1262.7"/>
  </r>
  <r>
    <x v="216"/>
    <s v="Male"/>
    <s v="Senior"/>
    <x v="2"/>
    <d v="2025-01-07T00:00:00"/>
    <x v="216"/>
    <d v="2024-05-19T00:00:00"/>
    <x v="2"/>
    <s v="Pizza"/>
    <x v="4"/>
    <n v="4"/>
    <n v="485.14"/>
    <x v="2"/>
    <n v="47"/>
    <d v="2024-11-15T00:00:00"/>
    <n v="157"/>
    <s v="Inactive"/>
    <n v="2"/>
    <d v="2024-10-13T00:00:00"/>
    <s v="Delivered"/>
    <n v="1940.56"/>
  </r>
  <r>
    <x v="217"/>
    <s v="Other"/>
    <s v="Senior"/>
    <x v="3"/>
    <d v="2025-04-21T00:00:00"/>
    <x v="217"/>
    <d v="2024-05-19T00:00:00"/>
    <x v="1"/>
    <s v="Burger"/>
    <x v="0"/>
    <n v="2"/>
    <n v="919.17"/>
    <x v="0"/>
    <n v="50"/>
    <d v="2024-09-28T00:00:00"/>
    <n v="311"/>
    <s v="Inactive"/>
    <n v="3"/>
    <d v="2024-09-03T00:00:00"/>
    <s v="Delayed"/>
    <n v="1838.34"/>
  </r>
  <r>
    <x v="218"/>
    <s v="Other"/>
    <s v="Teenager"/>
    <x v="2"/>
    <d v="2023-11-05T00:00:00"/>
    <x v="218"/>
    <d v="2024-05-20T00:00:00"/>
    <x v="4"/>
    <s v="Burger"/>
    <x v="2"/>
    <n v="3"/>
    <n v="228.46"/>
    <x v="1"/>
    <n v="11"/>
    <d v="2025-01-28T00:00:00"/>
    <n v="17"/>
    <s v="Inactive"/>
    <n v="2"/>
    <d v="2024-11-01T00:00:00"/>
    <s v="Delayed"/>
    <n v="685.38"/>
  </r>
  <r>
    <x v="219"/>
    <s v="Female"/>
    <s v="Senior"/>
    <x v="3"/>
    <d v="2024-12-18T00:00:00"/>
    <x v="219"/>
    <d v="2024-05-20T00:00:00"/>
    <x v="4"/>
    <s v="Pasta"/>
    <x v="3"/>
    <n v="1"/>
    <n v="900.71"/>
    <x v="2"/>
    <n v="45"/>
    <d v="2025-05-14T00:00:00"/>
    <n v="486"/>
    <s v="Inactive"/>
    <m/>
    <d v="2025-05-02T00:00:00"/>
    <s v="Cancelled"/>
    <n v="900.71"/>
  </r>
  <r>
    <x v="220"/>
    <s v="Female"/>
    <s v="Senior"/>
    <x v="2"/>
    <d v="2024-12-19T00:00:00"/>
    <x v="220"/>
    <d v="2024-05-20T00:00:00"/>
    <x v="2"/>
    <s v="Fries"/>
    <x v="2"/>
    <n v="5"/>
    <n v="709.31"/>
    <x v="1"/>
    <n v="36"/>
    <d v="2025-01-23T00:00:00"/>
    <n v="4"/>
    <s v="Inactive"/>
    <n v="5"/>
    <d v="2024-11-03T00:00:00"/>
    <s v="Delayed"/>
    <n v="3546.5499999999997"/>
  </r>
  <r>
    <x v="221"/>
    <s v="Female"/>
    <s v="Teenager"/>
    <x v="4"/>
    <d v="2024-09-05T00:00:00"/>
    <x v="221"/>
    <d v="2024-05-20T00:00:00"/>
    <x v="1"/>
    <s v="Pasta"/>
    <x v="4"/>
    <n v="5"/>
    <n v="1113.3"/>
    <x v="0"/>
    <n v="35"/>
    <d v="2025-05-16T00:00:00"/>
    <n v="294"/>
    <s v="Active"/>
    <m/>
    <d v="2025-03-19T00:00:00"/>
    <s v="Cancelled"/>
    <n v="5566.5"/>
  </r>
  <r>
    <x v="222"/>
    <s v="Other"/>
    <s v="Teenager"/>
    <x v="1"/>
    <d v="2024-06-21T00:00:00"/>
    <x v="222"/>
    <d v="2024-05-20T00:00:00"/>
    <x v="4"/>
    <s v="Pasta"/>
    <x v="3"/>
    <n v="4"/>
    <n v="953.63"/>
    <x v="1"/>
    <n v="15"/>
    <d v="2025-02-25T00:00:00"/>
    <n v="130"/>
    <s v="Inactive"/>
    <n v="3"/>
    <d v="2025-02-04T00:00:00"/>
    <s v="Delivered"/>
    <n v="3814.52"/>
  </r>
  <r>
    <x v="223"/>
    <s v="Other"/>
    <s v="Senior"/>
    <x v="4"/>
    <d v="2025-04-11T00:00:00"/>
    <x v="223"/>
    <d v="2024-05-20T00:00:00"/>
    <x v="2"/>
    <s v="Pasta"/>
    <x v="2"/>
    <n v="4"/>
    <n v="905.45"/>
    <x v="2"/>
    <n v="14"/>
    <d v="2025-07-08T00:00:00"/>
    <n v="303"/>
    <s v="Active"/>
    <n v="4"/>
    <d v="2024-10-13T00:00:00"/>
    <s v="Delivered"/>
    <n v="3621.8"/>
  </r>
  <r>
    <x v="224"/>
    <s v="Female"/>
    <s v="Senior"/>
    <x v="1"/>
    <d v="2025-08-07T00:00:00"/>
    <x v="224"/>
    <d v="2024-05-20T00:00:00"/>
    <x v="2"/>
    <s v="Sandwich"/>
    <x v="0"/>
    <n v="1"/>
    <n v="1278.9000000000001"/>
    <x v="1"/>
    <n v="44"/>
    <d v="2024-09-25T00:00:00"/>
    <n v="25"/>
    <s v="Inactive"/>
    <n v="2"/>
    <d v="2025-07-24T00:00:00"/>
    <s v="Delivered"/>
    <n v="1278.9000000000001"/>
  </r>
  <r>
    <x v="225"/>
    <s v="Other"/>
    <s v="Teenager"/>
    <x v="0"/>
    <d v="2025-07-22T00:00:00"/>
    <x v="225"/>
    <d v="2024-05-21T00:00:00"/>
    <x v="0"/>
    <s v="Burger"/>
    <x v="3"/>
    <n v="1"/>
    <n v="1253.8499999999999"/>
    <x v="0"/>
    <n v="31"/>
    <d v="2024-12-19T00:00:00"/>
    <n v="267"/>
    <s v="Inactive"/>
    <n v="5"/>
    <d v="2025-07-23T00:00:00"/>
    <s v="Delivered"/>
    <n v="1253.8499999999999"/>
  </r>
  <r>
    <x v="226"/>
    <s v="Female"/>
    <s v="Teenager"/>
    <x v="3"/>
    <d v="2025-04-26T00:00:00"/>
    <x v="226"/>
    <d v="2024-05-21T00:00:00"/>
    <x v="0"/>
    <s v="Sandwich"/>
    <x v="0"/>
    <n v="1"/>
    <n v="895.81"/>
    <x v="0"/>
    <n v="45"/>
    <d v="2025-03-31T00:00:00"/>
    <n v="364"/>
    <s v="Active"/>
    <n v="5"/>
    <d v="2025-03-29T00:00:00"/>
    <s v="Delivered"/>
    <n v="895.81"/>
  </r>
  <r>
    <x v="227"/>
    <s v="Male"/>
    <s v="Senior"/>
    <x v="4"/>
    <d v="2024-09-09T00:00:00"/>
    <x v="227"/>
    <d v="2024-05-21T00:00:00"/>
    <x v="0"/>
    <s v="Burger"/>
    <x v="4"/>
    <n v="3"/>
    <n v="1346.4"/>
    <x v="0"/>
    <n v="8"/>
    <d v="2024-11-04T00:00:00"/>
    <n v="381"/>
    <s v="Inactive"/>
    <m/>
    <d v="2025-04-05T00:00:00"/>
    <s v="Cancelled"/>
    <n v="4039.2000000000003"/>
  </r>
  <r>
    <x v="228"/>
    <s v="Male"/>
    <s v="Senior"/>
    <x v="1"/>
    <d v="2025-06-22T00:00:00"/>
    <x v="228"/>
    <d v="2024-05-21T00:00:00"/>
    <x v="1"/>
    <s v="Pasta"/>
    <x v="1"/>
    <n v="2"/>
    <n v="924.57"/>
    <x v="0"/>
    <n v="23"/>
    <d v="2025-03-26T00:00:00"/>
    <n v="473"/>
    <s v="Active"/>
    <n v="2"/>
    <d v="2024-12-11T00:00:00"/>
    <s v="Delivered"/>
    <n v="1849.14"/>
  </r>
  <r>
    <x v="229"/>
    <s v="Male"/>
    <s v="Adult"/>
    <x v="4"/>
    <d v="2024-10-08T00:00:00"/>
    <x v="229"/>
    <d v="2024-05-21T00:00:00"/>
    <x v="2"/>
    <s v="Sandwich"/>
    <x v="2"/>
    <n v="3"/>
    <n v="701.39"/>
    <x v="2"/>
    <n v="38"/>
    <d v="2025-08-21T00:00:00"/>
    <n v="197"/>
    <s v="Active"/>
    <n v="3"/>
    <d v="2025-02-23T00:00:00"/>
    <s v="Delayed"/>
    <n v="2104.17"/>
  </r>
  <r>
    <x v="230"/>
    <s v="Other"/>
    <s v="Adult"/>
    <x v="2"/>
    <d v="2024-08-09T00:00:00"/>
    <x v="230"/>
    <d v="2024-05-21T00:00:00"/>
    <x v="0"/>
    <s v="Sandwich"/>
    <x v="0"/>
    <n v="3"/>
    <n v="748.73"/>
    <x v="2"/>
    <n v="15"/>
    <d v="2025-02-06T00:00:00"/>
    <n v="254"/>
    <s v="Inactive"/>
    <n v="5"/>
    <d v="2025-05-09T00:00:00"/>
    <s v="Delivered"/>
    <n v="2246.19"/>
  </r>
  <r>
    <x v="231"/>
    <s v="Female"/>
    <s v="Senior"/>
    <x v="1"/>
    <d v="2025-07-29T00:00:00"/>
    <x v="231"/>
    <d v="2024-05-21T00:00:00"/>
    <x v="1"/>
    <s v="Burger"/>
    <x v="2"/>
    <n v="2"/>
    <n v="1327.52"/>
    <x v="1"/>
    <n v="12"/>
    <d v="2025-07-03T00:00:00"/>
    <n v="146"/>
    <s v="Inactive"/>
    <m/>
    <d v="2025-01-13T00:00:00"/>
    <s v="Cancelled"/>
    <n v="2655.04"/>
  </r>
  <r>
    <x v="232"/>
    <s v="Female"/>
    <s v="Adult"/>
    <x v="3"/>
    <d v="2025-02-07T00:00:00"/>
    <x v="232"/>
    <d v="2024-05-21T00:00:00"/>
    <x v="1"/>
    <s v="Burger"/>
    <x v="3"/>
    <n v="5"/>
    <n v="1093.52"/>
    <x v="1"/>
    <n v="48"/>
    <d v="2024-10-10T00:00:00"/>
    <n v="353"/>
    <s v="Inactive"/>
    <m/>
    <d v="2024-11-23T00:00:00"/>
    <s v="Cancelled"/>
    <n v="5467.6"/>
  </r>
  <r>
    <x v="233"/>
    <s v="Other"/>
    <s v="Adult"/>
    <x v="0"/>
    <d v="2024-12-06T00:00:00"/>
    <x v="233"/>
    <d v="2024-05-21T00:00:00"/>
    <x v="4"/>
    <s v="Fries"/>
    <x v="4"/>
    <n v="1"/>
    <n v="537.69000000000005"/>
    <x v="1"/>
    <n v="16"/>
    <d v="2025-07-20T00:00:00"/>
    <n v="412"/>
    <s v="Inactive"/>
    <n v="5"/>
    <d v="2025-08-14T00:00:00"/>
    <s v="Delayed"/>
    <n v="537.69000000000005"/>
  </r>
  <r>
    <x v="234"/>
    <s v="Male"/>
    <s v="Senior"/>
    <x v="2"/>
    <d v="2024-09-24T00:00:00"/>
    <x v="234"/>
    <d v="2024-05-21T00:00:00"/>
    <x v="0"/>
    <s v="Fries"/>
    <x v="0"/>
    <n v="2"/>
    <n v="1449.82"/>
    <x v="1"/>
    <n v="37"/>
    <d v="2025-08-15T00:00:00"/>
    <n v="226"/>
    <s v="Active"/>
    <m/>
    <d v="2024-10-12T00:00:00"/>
    <s v="Cancelled"/>
    <n v="2899.64"/>
  </r>
  <r>
    <x v="235"/>
    <s v="Other"/>
    <s v="Teenager"/>
    <x v="2"/>
    <d v="2024-09-19T00:00:00"/>
    <x v="235"/>
    <d v="2024-05-22T00:00:00"/>
    <x v="1"/>
    <s v="Sandwich"/>
    <x v="2"/>
    <n v="2"/>
    <n v="1307.54"/>
    <x v="1"/>
    <n v="49"/>
    <d v="2025-07-10T00:00:00"/>
    <n v="33"/>
    <s v="Inactive"/>
    <n v="4"/>
    <d v="2024-09-21T00:00:00"/>
    <s v="Delayed"/>
    <n v="2615.08"/>
  </r>
  <r>
    <x v="236"/>
    <s v="Male"/>
    <s v="Senior"/>
    <x v="4"/>
    <d v="2024-06-05T00:00:00"/>
    <x v="236"/>
    <d v="2024-05-22T00:00:00"/>
    <x v="4"/>
    <s v="Burger"/>
    <x v="2"/>
    <n v="3"/>
    <n v="1258.67"/>
    <x v="2"/>
    <n v="25"/>
    <d v="2024-10-17T00:00:00"/>
    <n v="111"/>
    <s v="Active"/>
    <n v="5"/>
    <d v="2024-10-18T00:00:00"/>
    <s v="Delayed"/>
    <n v="3776.01"/>
  </r>
  <r>
    <x v="237"/>
    <s v="Other"/>
    <s v="Senior"/>
    <x v="4"/>
    <d v="2024-09-21T00:00:00"/>
    <x v="237"/>
    <d v="2024-05-22T00:00:00"/>
    <x v="2"/>
    <s v="Pizza"/>
    <x v="3"/>
    <n v="1"/>
    <n v="760.45"/>
    <x v="2"/>
    <n v="21"/>
    <d v="2025-08-12T00:00:00"/>
    <n v="308"/>
    <s v="Active"/>
    <n v="2"/>
    <d v="2025-02-14T00:00:00"/>
    <s v="Delayed"/>
    <n v="760.45"/>
  </r>
  <r>
    <x v="238"/>
    <s v="Other"/>
    <s v="Senior"/>
    <x v="0"/>
    <d v="2024-06-09T00:00:00"/>
    <x v="238"/>
    <d v="2024-05-22T00:00:00"/>
    <x v="2"/>
    <s v="Burger"/>
    <x v="4"/>
    <n v="4"/>
    <n v="1311.22"/>
    <x v="1"/>
    <n v="37"/>
    <d v="2025-07-22T00:00:00"/>
    <n v="343"/>
    <s v="Inactive"/>
    <n v="5"/>
    <d v="2025-01-28T00:00:00"/>
    <s v="Delivered"/>
    <n v="5244.88"/>
  </r>
  <r>
    <x v="239"/>
    <s v="Other"/>
    <s v="Adult"/>
    <x v="4"/>
    <d v="2025-06-04T00:00:00"/>
    <x v="239"/>
    <d v="2024-05-22T00:00:00"/>
    <x v="2"/>
    <s v="Pizza"/>
    <x v="4"/>
    <n v="3"/>
    <n v="788.69"/>
    <x v="1"/>
    <n v="32"/>
    <d v="2024-09-12T00:00:00"/>
    <n v="436"/>
    <s v="Inactive"/>
    <n v="3"/>
    <d v="2025-05-11T00:00:00"/>
    <s v="Delivered"/>
    <n v="2366.0700000000002"/>
  </r>
  <r>
    <x v="240"/>
    <s v="Male"/>
    <s v="Adult"/>
    <x v="3"/>
    <d v="2024-06-05T00:00:00"/>
    <x v="240"/>
    <d v="2024-05-22T00:00:00"/>
    <x v="1"/>
    <s v="Pasta"/>
    <x v="3"/>
    <n v="4"/>
    <n v="1283.97"/>
    <x v="2"/>
    <n v="16"/>
    <d v="2025-03-16T00:00:00"/>
    <n v="381"/>
    <s v="Active"/>
    <n v="2"/>
    <d v="2024-08-25T00:00:00"/>
    <s v="Delivered"/>
    <n v="5135.88"/>
  </r>
  <r>
    <x v="241"/>
    <s v="Other"/>
    <s v="Teenager"/>
    <x v="0"/>
    <d v="2025-07-22T00:00:00"/>
    <x v="241"/>
    <d v="2024-05-22T00:00:00"/>
    <x v="1"/>
    <s v="Burger"/>
    <x v="3"/>
    <n v="2"/>
    <n v="1199.68"/>
    <x v="1"/>
    <n v="9"/>
    <d v="2024-09-23T00:00:00"/>
    <n v="175"/>
    <s v="Inactive"/>
    <m/>
    <d v="2024-11-14T00:00:00"/>
    <s v="Cancelled"/>
    <n v="2399.36"/>
  </r>
  <r>
    <x v="242"/>
    <s v="Female"/>
    <s v="Adult"/>
    <x v="0"/>
    <d v="2025-07-24T00:00:00"/>
    <x v="242"/>
    <d v="2024-05-22T00:00:00"/>
    <x v="3"/>
    <s v="Fries"/>
    <x v="1"/>
    <n v="4"/>
    <n v="1456.87"/>
    <x v="1"/>
    <n v="28"/>
    <d v="2024-08-21T00:00:00"/>
    <n v="174"/>
    <s v="Inactive"/>
    <n v="5"/>
    <d v="2025-01-02T00:00:00"/>
    <s v="Delivered"/>
    <n v="5827.48"/>
  </r>
  <r>
    <x v="243"/>
    <s v="Female"/>
    <s v="Teenager"/>
    <x v="3"/>
    <d v="2025-07-28T00:00:00"/>
    <x v="243"/>
    <d v="2024-05-23T00:00:00"/>
    <x v="2"/>
    <s v="Pizza"/>
    <x v="3"/>
    <n v="3"/>
    <n v="705.88"/>
    <x v="2"/>
    <n v="30"/>
    <d v="2024-10-18T00:00:00"/>
    <n v="225"/>
    <s v="Active"/>
    <m/>
    <d v="2025-04-16T00:00:00"/>
    <s v="Cancelled"/>
    <n v="2117.64"/>
  </r>
  <r>
    <x v="244"/>
    <s v="Male"/>
    <s v="Adult"/>
    <x v="4"/>
    <d v="2024-02-26T00:00:00"/>
    <x v="244"/>
    <d v="2024-05-23T00:00:00"/>
    <x v="0"/>
    <s v="Pasta"/>
    <x v="1"/>
    <n v="1"/>
    <n v="1442.58"/>
    <x v="0"/>
    <n v="7"/>
    <d v="2024-12-11T00:00:00"/>
    <n v="38"/>
    <s v="Active"/>
    <n v="5"/>
    <d v="2025-06-14T00:00:00"/>
    <s v="Delayed"/>
    <n v="1442.58"/>
  </r>
  <r>
    <x v="245"/>
    <s v="Male"/>
    <s v="Senior"/>
    <x v="0"/>
    <d v="2025-07-18T00:00:00"/>
    <x v="245"/>
    <d v="2024-05-23T00:00:00"/>
    <x v="3"/>
    <s v="Sandwich"/>
    <x v="0"/>
    <n v="2"/>
    <n v="466.89"/>
    <x v="1"/>
    <n v="25"/>
    <d v="2024-10-04T00:00:00"/>
    <n v="345"/>
    <s v="Active"/>
    <n v="2"/>
    <d v="2025-02-14T00:00:00"/>
    <s v="Delayed"/>
    <n v="933.78"/>
  </r>
  <r>
    <x v="246"/>
    <s v="Male"/>
    <s v="Adult"/>
    <x v="4"/>
    <d v="2024-10-15T00:00:00"/>
    <x v="246"/>
    <d v="2024-05-23T00:00:00"/>
    <x v="1"/>
    <s v="Pasta"/>
    <x v="0"/>
    <n v="1"/>
    <n v="539.24"/>
    <x v="1"/>
    <n v="30"/>
    <d v="2024-10-12T00:00:00"/>
    <n v="192"/>
    <s v="Active"/>
    <m/>
    <d v="2024-08-23T00:00:00"/>
    <s v="Cancelled"/>
    <n v="539.24"/>
  </r>
  <r>
    <x v="247"/>
    <s v="Male"/>
    <s v="Teenager"/>
    <x v="1"/>
    <d v="2025-07-27T00:00:00"/>
    <x v="247"/>
    <d v="2024-05-23T00:00:00"/>
    <x v="4"/>
    <s v="Sandwich"/>
    <x v="0"/>
    <n v="1"/>
    <n v="771.48"/>
    <x v="1"/>
    <n v="50"/>
    <d v="2025-03-27T00:00:00"/>
    <n v="96"/>
    <s v="Active"/>
    <m/>
    <d v="2025-04-13T00:00:00"/>
    <s v="Cancelled"/>
    <n v="771.48"/>
  </r>
  <r>
    <x v="248"/>
    <s v="Male"/>
    <s v="Senior"/>
    <x v="4"/>
    <d v="2024-01-07T00:00:00"/>
    <x v="248"/>
    <d v="2024-05-23T00:00:00"/>
    <x v="2"/>
    <s v="Sandwich"/>
    <x v="1"/>
    <n v="3"/>
    <n v="1252.33"/>
    <x v="0"/>
    <n v="4"/>
    <d v="2024-09-05T00:00:00"/>
    <n v="256"/>
    <s v="Active"/>
    <m/>
    <d v="2025-06-06T00:00:00"/>
    <s v="Cancelled"/>
    <n v="3756.99"/>
  </r>
  <r>
    <x v="249"/>
    <s v="Female"/>
    <s v="Adult"/>
    <x v="2"/>
    <d v="2024-05-06T00:00:00"/>
    <x v="249"/>
    <d v="2024-05-23T00:00:00"/>
    <x v="0"/>
    <s v="Burger"/>
    <x v="0"/>
    <n v="4"/>
    <n v="1182.98"/>
    <x v="2"/>
    <n v="12"/>
    <d v="2024-09-02T00:00:00"/>
    <n v="200"/>
    <s v="Inactive"/>
    <m/>
    <d v="2025-07-09T00:00:00"/>
    <s v="Cancelled"/>
    <n v="4731.92"/>
  </r>
  <r>
    <x v="250"/>
    <s v="Male"/>
    <s v="Senior"/>
    <x v="0"/>
    <d v="2024-02-17T00:00:00"/>
    <x v="250"/>
    <d v="2024-05-23T00:00:00"/>
    <x v="3"/>
    <s v="Burger"/>
    <x v="4"/>
    <n v="4"/>
    <n v="1328.33"/>
    <x v="2"/>
    <n v="42"/>
    <d v="2025-05-20T00:00:00"/>
    <n v="460"/>
    <s v="Inactive"/>
    <n v="3"/>
    <d v="2025-02-06T00:00:00"/>
    <s v="Delivered"/>
    <n v="5313.32"/>
  </r>
  <r>
    <x v="251"/>
    <s v="Female"/>
    <s v="Adult"/>
    <x v="0"/>
    <d v="2023-08-31T00:00:00"/>
    <x v="251"/>
    <d v="2024-05-23T00:00:00"/>
    <x v="2"/>
    <s v="Fries"/>
    <x v="1"/>
    <n v="1"/>
    <n v="1469.47"/>
    <x v="0"/>
    <n v="18"/>
    <d v="2025-08-09T00:00:00"/>
    <n v="448"/>
    <s v="Inactive"/>
    <m/>
    <d v="2024-12-16T00:00:00"/>
    <s v="Cancelled"/>
    <n v="1469.47"/>
  </r>
  <r>
    <x v="252"/>
    <s v="Other"/>
    <s v="Teenager"/>
    <x v="3"/>
    <d v="2024-10-13T00:00:00"/>
    <x v="252"/>
    <d v="2024-05-24T00:00:00"/>
    <x v="1"/>
    <s v="Pasta"/>
    <x v="1"/>
    <n v="3"/>
    <n v="1487.08"/>
    <x v="2"/>
    <n v="42"/>
    <d v="2025-03-05T00:00:00"/>
    <n v="389"/>
    <s v="Active"/>
    <n v="3"/>
    <d v="2025-05-02T00:00:00"/>
    <s v="Delayed"/>
    <n v="4461.24"/>
  </r>
  <r>
    <x v="253"/>
    <s v="Other"/>
    <s v="Senior"/>
    <x v="3"/>
    <d v="2025-08-16T00:00:00"/>
    <x v="253"/>
    <d v="2024-05-24T00:00:00"/>
    <x v="0"/>
    <s v="Pasta"/>
    <x v="3"/>
    <n v="1"/>
    <n v="557.49"/>
    <x v="0"/>
    <n v="26"/>
    <d v="2024-09-04T00:00:00"/>
    <n v="66"/>
    <s v="Inactive"/>
    <n v="2"/>
    <d v="2025-05-31T00:00:00"/>
    <s v="Delayed"/>
    <n v="557.49"/>
  </r>
  <r>
    <x v="254"/>
    <s v="Female"/>
    <s v="Teenager"/>
    <x v="2"/>
    <d v="2024-03-10T00:00:00"/>
    <x v="254"/>
    <d v="2024-05-24T00:00:00"/>
    <x v="3"/>
    <s v="Burger"/>
    <x v="1"/>
    <n v="5"/>
    <n v="1039.5"/>
    <x v="2"/>
    <n v="22"/>
    <d v="2024-09-07T00:00:00"/>
    <n v="92"/>
    <s v="Inactive"/>
    <m/>
    <d v="2024-11-24T00:00:00"/>
    <s v="Cancelled"/>
    <n v="5197.5"/>
  </r>
  <r>
    <x v="255"/>
    <s v="Female"/>
    <s v="Adult"/>
    <x v="0"/>
    <d v="2024-03-19T00:00:00"/>
    <x v="255"/>
    <d v="2024-05-24T00:00:00"/>
    <x v="1"/>
    <s v="Fries"/>
    <x v="2"/>
    <n v="5"/>
    <n v="106.16"/>
    <x v="1"/>
    <n v="1"/>
    <d v="2025-08-08T00:00:00"/>
    <n v="407"/>
    <s v="Inactive"/>
    <m/>
    <d v="2025-03-28T00:00:00"/>
    <s v="Cancelled"/>
    <n v="530.79999999999995"/>
  </r>
  <r>
    <x v="256"/>
    <s v="Male"/>
    <s v="Senior"/>
    <x v="1"/>
    <d v="2024-10-02T00:00:00"/>
    <x v="256"/>
    <d v="2024-05-25T00:00:00"/>
    <x v="4"/>
    <s v="Fries"/>
    <x v="1"/>
    <n v="2"/>
    <n v="301.01"/>
    <x v="0"/>
    <n v="6"/>
    <d v="2024-12-01T00:00:00"/>
    <n v="497"/>
    <s v="Inactive"/>
    <n v="5"/>
    <d v="2025-05-19T00:00:00"/>
    <s v="Delayed"/>
    <n v="602.02"/>
  </r>
  <r>
    <x v="257"/>
    <s v="Male"/>
    <s v="Senior"/>
    <x v="1"/>
    <d v="2023-09-30T00:00:00"/>
    <x v="257"/>
    <d v="2024-05-25T00:00:00"/>
    <x v="3"/>
    <s v="Pasta"/>
    <x v="2"/>
    <n v="1"/>
    <n v="1111.22"/>
    <x v="0"/>
    <n v="2"/>
    <d v="2024-11-06T00:00:00"/>
    <n v="82"/>
    <s v="Inactive"/>
    <n v="2"/>
    <d v="2024-12-18T00:00:00"/>
    <s v="Delivered"/>
    <n v="1111.22"/>
  </r>
  <r>
    <x v="258"/>
    <s v="Male"/>
    <s v="Teenager"/>
    <x v="3"/>
    <d v="2024-10-22T00:00:00"/>
    <x v="258"/>
    <d v="2024-05-25T00:00:00"/>
    <x v="3"/>
    <s v="Burger"/>
    <x v="1"/>
    <n v="3"/>
    <n v="1411.37"/>
    <x v="0"/>
    <n v="24"/>
    <d v="2025-02-02T00:00:00"/>
    <n v="285"/>
    <s v="Active"/>
    <m/>
    <d v="2024-12-27T00:00:00"/>
    <s v="Cancelled"/>
    <n v="4234.1099999999997"/>
  </r>
  <r>
    <x v="259"/>
    <s v="Female"/>
    <s v="Senior"/>
    <x v="1"/>
    <d v="2025-01-11T00:00:00"/>
    <x v="259"/>
    <d v="2024-05-25T00:00:00"/>
    <x v="0"/>
    <s v="Pizza"/>
    <x v="3"/>
    <n v="2"/>
    <n v="1382.43"/>
    <x v="2"/>
    <n v="4"/>
    <d v="2025-07-14T00:00:00"/>
    <n v="243"/>
    <s v="Active"/>
    <m/>
    <d v="2025-04-29T00:00:00"/>
    <s v="Cancelled"/>
    <n v="2764.86"/>
  </r>
  <r>
    <x v="260"/>
    <s v="Male"/>
    <s v="Adult"/>
    <x v="1"/>
    <d v="2024-11-08T00:00:00"/>
    <x v="260"/>
    <d v="2024-05-25T00:00:00"/>
    <x v="3"/>
    <s v="Pizza"/>
    <x v="4"/>
    <n v="2"/>
    <n v="508.57"/>
    <x v="0"/>
    <n v="41"/>
    <d v="2024-11-26T00:00:00"/>
    <n v="459"/>
    <s v="Inactive"/>
    <m/>
    <d v="2025-01-30T00:00:00"/>
    <s v="Cancelled"/>
    <n v="1017.14"/>
  </r>
  <r>
    <x v="261"/>
    <s v="Female"/>
    <s v="Senior"/>
    <x v="1"/>
    <d v="2025-07-31T00:00:00"/>
    <x v="261"/>
    <d v="2024-05-25T00:00:00"/>
    <x v="2"/>
    <s v="Fries"/>
    <x v="2"/>
    <n v="5"/>
    <n v="1373.38"/>
    <x v="2"/>
    <n v="18"/>
    <d v="2025-07-26T00:00:00"/>
    <n v="475"/>
    <s v="Active"/>
    <n v="4"/>
    <d v="2025-07-08T00:00:00"/>
    <s v="Delayed"/>
    <n v="6866.9000000000005"/>
  </r>
  <r>
    <x v="262"/>
    <s v="Female"/>
    <s v="Adult"/>
    <x v="2"/>
    <d v="2024-07-22T00:00:00"/>
    <x v="262"/>
    <d v="2024-05-25T00:00:00"/>
    <x v="2"/>
    <s v="Pasta"/>
    <x v="3"/>
    <n v="3"/>
    <n v="1438.71"/>
    <x v="2"/>
    <n v="21"/>
    <d v="2025-03-03T00:00:00"/>
    <n v="289"/>
    <s v="Inactive"/>
    <m/>
    <d v="2025-05-28T00:00:00"/>
    <s v="Cancelled"/>
    <n v="4316.13"/>
  </r>
  <r>
    <x v="263"/>
    <s v="Female"/>
    <s v="Senior"/>
    <x v="3"/>
    <d v="2025-08-14T00:00:00"/>
    <x v="263"/>
    <d v="2024-05-26T00:00:00"/>
    <x v="3"/>
    <s v="Sandwich"/>
    <x v="1"/>
    <n v="4"/>
    <n v="417.96"/>
    <x v="1"/>
    <n v="30"/>
    <d v="2025-03-03T00:00:00"/>
    <n v="311"/>
    <s v="Inactive"/>
    <m/>
    <d v="2025-03-22T00:00:00"/>
    <s v="Cancelled"/>
    <n v="1671.84"/>
  </r>
  <r>
    <x v="264"/>
    <s v="Female"/>
    <s v="Senior"/>
    <x v="2"/>
    <d v="2025-03-31T00:00:00"/>
    <x v="264"/>
    <d v="2024-05-26T00:00:00"/>
    <x v="2"/>
    <s v="Burger"/>
    <x v="3"/>
    <n v="5"/>
    <n v="424.28"/>
    <x v="0"/>
    <n v="50"/>
    <d v="2025-06-08T00:00:00"/>
    <n v="345"/>
    <s v="Inactive"/>
    <n v="3"/>
    <d v="2025-03-16T00:00:00"/>
    <s v="Delivered"/>
    <n v="2121.3999999999996"/>
  </r>
  <r>
    <x v="265"/>
    <s v="Female"/>
    <s v="Senior"/>
    <x v="2"/>
    <d v="2024-12-15T00:00:00"/>
    <x v="265"/>
    <d v="2024-05-26T00:00:00"/>
    <x v="4"/>
    <s v="Pasta"/>
    <x v="0"/>
    <n v="5"/>
    <n v="752.84"/>
    <x v="2"/>
    <n v="14"/>
    <d v="2025-01-16T00:00:00"/>
    <n v="214"/>
    <s v="Active"/>
    <n v="4"/>
    <d v="2025-05-27T00:00:00"/>
    <s v="Delivered"/>
    <n v="3764.2000000000003"/>
  </r>
  <r>
    <x v="266"/>
    <s v="Female"/>
    <s v="Teenager"/>
    <x v="0"/>
    <d v="2024-02-25T00:00:00"/>
    <x v="266"/>
    <d v="2024-05-26T00:00:00"/>
    <x v="2"/>
    <s v="Pizza"/>
    <x v="0"/>
    <n v="2"/>
    <n v="200.73"/>
    <x v="0"/>
    <n v="49"/>
    <d v="2025-03-07T00:00:00"/>
    <n v="133"/>
    <s v="Active"/>
    <m/>
    <d v="2025-04-13T00:00:00"/>
    <s v="Cancelled"/>
    <n v="401.46"/>
  </r>
  <r>
    <x v="267"/>
    <s v="Female"/>
    <s v="Senior"/>
    <x v="1"/>
    <d v="2023-10-26T00:00:00"/>
    <x v="267"/>
    <d v="2024-05-26T00:00:00"/>
    <x v="1"/>
    <s v="Pizza"/>
    <x v="3"/>
    <n v="3"/>
    <n v="259.02"/>
    <x v="2"/>
    <n v="13"/>
    <d v="2025-04-20T00:00:00"/>
    <n v="77"/>
    <s v="Inactive"/>
    <m/>
    <d v="2025-05-18T00:00:00"/>
    <s v="Cancelled"/>
    <n v="777.06"/>
  </r>
  <r>
    <x v="268"/>
    <s v="Female"/>
    <s v="Teenager"/>
    <x v="2"/>
    <d v="2025-08-20T00:00:00"/>
    <x v="268"/>
    <d v="2024-05-27T00:00:00"/>
    <x v="4"/>
    <s v="Burger"/>
    <x v="0"/>
    <n v="3"/>
    <n v="1452.02"/>
    <x v="1"/>
    <n v="3"/>
    <d v="2025-02-22T00:00:00"/>
    <n v="452"/>
    <s v="Inactive"/>
    <m/>
    <d v="2025-04-10T00:00:00"/>
    <s v="Cancelled"/>
    <n v="4356.0599999999995"/>
  </r>
  <r>
    <x v="269"/>
    <s v="Female"/>
    <s v="Adult"/>
    <x v="4"/>
    <d v="2024-11-20T00:00:00"/>
    <x v="269"/>
    <d v="2024-05-27T00:00:00"/>
    <x v="4"/>
    <s v="Burger"/>
    <x v="3"/>
    <n v="3"/>
    <n v="1451.36"/>
    <x v="0"/>
    <n v="19"/>
    <d v="2025-03-24T00:00:00"/>
    <n v="268"/>
    <s v="Active"/>
    <m/>
    <d v="2025-01-14T00:00:00"/>
    <s v="Cancelled"/>
    <n v="4354.08"/>
  </r>
  <r>
    <x v="270"/>
    <s v="Female"/>
    <s v="Teenager"/>
    <x v="1"/>
    <d v="2023-09-13T00:00:00"/>
    <x v="270"/>
    <d v="2024-05-27T00:00:00"/>
    <x v="2"/>
    <s v="Burger"/>
    <x v="0"/>
    <n v="5"/>
    <n v="295.02999999999997"/>
    <x v="1"/>
    <n v="37"/>
    <d v="2025-03-11T00:00:00"/>
    <n v="81"/>
    <s v="Active"/>
    <n v="4"/>
    <d v="2024-12-14T00:00:00"/>
    <s v="Delayed"/>
    <n v="1475.1499999999999"/>
  </r>
  <r>
    <x v="271"/>
    <s v="Other"/>
    <s v="Senior"/>
    <x v="0"/>
    <d v="2024-12-31T00:00:00"/>
    <x v="271"/>
    <d v="2024-05-27T00:00:00"/>
    <x v="0"/>
    <s v="Burger"/>
    <x v="2"/>
    <n v="5"/>
    <n v="1262.52"/>
    <x v="0"/>
    <n v="8"/>
    <d v="2025-07-10T00:00:00"/>
    <n v="309"/>
    <s v="Inactive"/>
    <n v="5"/>
    <d v="2025-08-19T00:00:00"/>
    <s v="Delayed"/>
    <n v="6312.6"/>
  </r>
  <r>
    <x v="272"/>
    <s v="Male"/>
    <s v="Senior"/>
    <x v="1"/>
    <d v="2024-07-15T00:00:00"/>
    <x v="272"/>
    <d v="2024-05-27T00:00:00"/>
    <x v="3"/>
    <s v="Pasta"/>
    <x v="4"/>
    <n v="2"/>
    <n v="1030.8"/>
    <x v="2"/>
    <n v="27"/>
    <d v="2025-06-07T00:00:00"/>
    <n v="112"/>
    <s v="Active"/>
    <n v="3"/>
    <d v="2025-03-24T00:00:00"/>
    <s v="Delayed"/>
    <n v="2061.6"/>
  </r>
  <r>
    <x v="273"/>
    <s v="Male"/>
    <s v="Adult"/>
    <x v="0"/>
    <d v="2025-05-11T00:00:00"/>
    <x v="273"/>
    <d v="2024-05-27T00:00:00"/>
    <x v="3"/>
    <s v="Pasta"/>
    <x v="1"/>
    <n v="1"/>
    <n v="1357.27"/>
    <x v="1"/>
    <n v="32"/>
    <d v="2025-04-21T00:00:00"/>
    <n v="361"/>
    <s v="Active"/>
    <n v="4"/>
    <d v="2025-05-27T00:00:00"/>
    <s v="Delayed"/>
    <n v="1357.27"/>
  </r>
  <r>
    <x v="274"/>
    <s v="Male"/>
    <s v="Adult"/>
    <x v="3"/>
    <d v="2024-10-10T00:00:00"/>
    <x v="274"/>
    <d v="2024-05-27T00:00:00"/>
    <x v="2"/>
    <s v="Burger"/>
    <x v="0"/>
    <n v="2"/>
    <n v="787.5"/>
    <x v="0"/>
    <n v="7"/>
    <d v="2025-05-24T00:00:00"/>
    <n v="36"/>
    <s v="Inactive"/>
    <n v="2"/>
    <d v="2024-10-27T00:00:00"/>
    <s v="Delayed"/>
    <n v="1575"/>
  </r>
  <r>
    <x v="275"/>
    <s v="Male"/>
    <s v="Adult"/>
    <x v="1"/>
    <d v="2025-06-23T00:00:00"/>
    <x v="275"/>
    <d v="2024-05-27T00:00:00"/>
    <x v="1"/>
    <s v="Pasta"/>
    <x v="3"/>
    <n v="5"/>
    <n v="138.13"/>
    <x v="2"/>
    <n v="41"/>
    <d v="2024-11-09T00:00:00"/>
    <n v="9"/>
    <s v="Active"/>
    <n v="3"/>
    <d v="2025-01-10T00:00:00"/>
    <s v="Delivered"/>
    <n v="690.65"/>
  </r>
  <r>
    <x v="276"/>
    <s v="Female"/>
    <s v="Senior"/>
    <x v="4"/>
    <d v="2023-12-08T00:00:00"/>
    <x v="276"/>
    <d v="2024-05-28T00:00:00"/>
    <x v="4"/>
    <s v="Fries"/>
    <x v="0"/>
    <n v="5"/>
    <n v="1147.95"/>
    <x v="2"/>
    <n v="50"/>
    <d v="2024-12-31T00:00:00"/>
    <n v="163"/>
    <s v="Inactive"/>
    <n v="5"/>
    <d v="2024-11-17T00:00:00"/>
    <s v="Delivered"/>
    <n v="5739.75"/>
  </r>
  <r>
    <x v="277"/>
    <s v="Male"/>
    <s v="Adult"/>
    <x v="2"/>
    <d v="2024-06-30T00:00:00"/>
    <x v="277"/>
    <d v="2024-05-28T00:00:00"/>
    <x v="1"/>
    <s v="Burger"/>
    <x v="4"/>
    <n v="5"/>
    <n v="509.22"/>
    <x v="1"/>
    <n v="21"/>
    <d v="2025-08-02T00:00:00"/>
    <n v="156"/>
    <s v="Inactive"/>
    <n v="3"/>
    <d v="2024-09-18T00:00:00"/>
    <s v="Delivered"/>
    <n v="2546.1000000000004"/>
  </r>
  <r>
    <x v="278"/>
    <s v="Female"/>
    <s v="Teenager"/>
    <x v="0"/>
    <d v="2023-10-26T00:00:00"/>
    <x v="278"/>
    <d v="2024-05-28T00:00:00"/>
    <x v="4"/>
    <s v="Pasta"/>
    <x v="0"/>
    <n v="5"/>
    <n v="342.85"/>
    <x v="2"/>
    <n v="16"/>
    <d v="2025-06-29T00:00:00"/>
    <n v="112"/>
    <s v="Inactive"/>
    <n v="3"/>
    <d v="2025-03-03T00:00:00"/>
    <s v="Delayed"/>
    <n v="1714.25"/>
  </r>
  <r>
    <x v="279"/>
    <s v="Female"/>
    <s v="Senior"/>
    <x v="2"/>
    <d v="2024-05-22T00:00:00"/>
    <x v="279"/>
    <d v="2024-05-28T00:00:00"/>
    <x v="2"/>
    <s v="Pasta"/>
    <x v="1"/>
    <n v="1"/>
    <n v="879.11"/>
    <x v="2"/>
    <n v="31"/>
    <d v="2025-08-03T00:00:00"/>
    <n v="301"/>
    <s v="Inactive"/>
    <n v="3"/>
    <d v="2025-07-14T00:00:00"/>
    <s v="Delayed"/>
    <n v="879.11"/>
  </r>
  <r>
    <x v="280"/>
    <s v="Female"/>
    <s v="Senior"/>
    <x v="4"/>
    <d v="2024-09-26T00:00:00"/>
    <x v="280"/>
    <d v="2024-05-28T00:00:00"/>
    <x v="1"/>
    <s v="Burger"/>
    <x v="0"/>
    <n v="1"/>
    <n v="1281.95"/>
    <x v="0"/>
    <n v="9"/>
    <d v="2025-06-16T00:00:00"/>
    <n v="174"/>
    <s v="Active"/>
    <n v="2"/>
    <d v="2024-12-29T00:00:00"/>
    <s v="Delayed"/>
    <n v="1281.95"/>
  </r>
  <r>
    <x v="281"/>
    <s v="Male"/>
    <s v="Adult"/>
    <x v="2"/>
    <d v="2024-11-05T00:00:00"/>
    <x v="281"/>
    <d v="2024-05-29T00:00:00"/>
    <x v="4"/>
    <s v="Pasta"/>
    <x v="4"/>
    <n v="2"/>
    <n v="341.76"/>
    <x v="2"/>
    <n v="18"/>
    <d v="2025-04-13T00:00:00"/>
    <n v="176"/>
    <s v="Active"/>
    <m/>
    <d v="2025-03-16T00:00:00"/>
    <s v="Cancelled"/>
    <n v="683.52"/>
  </r>
  <r>
    <x v="282"/>
    <s v="Male"/>
    <s v="Teenager"/>
    <x v="1"/>
    <d v="2025-02-08T00:00:00"/>
    <x v="282"/>
    <d v="2024-05-29T00:00:00"/>
    <x v="4"/>
    <s v="Sandwich"/>
    <x v="0"/>
    <n v="4"/>
    <n v="1473.46"/>
    <x v="1"/>
    <n v="4"/>
    <d v="2025-06-20T00:00:00"/>
    <n v="20"/>
    <s v="Active"/>
    <n v="5"/>
    <d v="2025-03-18T00:00:00"/>
    <s v="Delivered"/>
    <n v="5893.84"/>
  </r>
  <r>
    <x v="283"/>
    <s v="Female"/>
    <s v="Teenager"/>
    <x v="2"/>
    <d v="2025-01-14T00:00:00"/>
    <x v="283"/>
    <d v="2024-05-29T00:00:00"/>
    <x v="3"/>
    <s v="Sandwich"/>
    <x v="3"/>
    <n v="1"/>
    <n v="1420.56"/>
    <x v="2"/>
    <n v="27"/>
    <d v="2025-06-03T00:00:00"/>
    <n v="346"/>
    <s v="Inactive"/>
    <n v="3"/>
    <d v="2025-01-04T00:00:00"/>
    <s v="Delayed"/>
    <n v="1420.56"/>
  </r>
  <r>
    <x v="284"/>
    <s v="Female"/>
    <s v="Senior"/>
    <x v="3"/>
    <d v="2025-01-11T00:00:00"/>
    <x v="284"/>
    <d v="2024-05-30T00:00:00"/>
    <x v="0"/>
    <s v="Sandwich"/>
    <x v="3"/>
    <n v="5"/>
    <n v="923.04"/>
    <x v="0"/>
    <n v="21"/>
    <d v="2025-04-22T00:00:00"/>
    <n v="311"/>
    <s v="Active"/>
    <n v="2"/>
    <d v="2024-09-23T00:00:00"/>
    <s v="Delivered"/>
    <n v="4615.2"/>
  </r>
  <r>
    <x v="285"/>
    <s v="Other"/>
    <s v="Teenager"/>
    <x v="0"/>
    <d v="2024-08-24T00:00:00"/>
    <x v="285"/>
    <d v="2024-05-30T00:00:00"/>
    <x v="1"/>
    <s v="Pasta"/>
    <x v="2"/>
    <n v="4"/>
    <n v="1091.23"/>
    <x v="0"/>
    <n v="2"/>
    <d v="2025-02-07T00:00:00"/>
    <n v="256"/>
    <s v="Active"/>
    <m/>
    <d v="2025-05-09T00:00:00"/>
    <s v="Cancelled"/>
    <n v="4364.92"/>
  </r>
  <r>
    <x v="286"/>
    <s v="Female"/>
    <s v="Adult"/>
    <x v="4"/>
    <d v="2024-10-04T00:00:00"/>
    <x v="286"/>
    <d v="2024-05-30T00:00:00"/>
    <x v="3"/>
    <s v="Pasta"/>
    <x v="4"/>
    <n v="4"/>
    <n v="326.83999999999997"/>
    <x v="2"/>
    <n v="35"/>
    <d v="2025-03-11T00:00:00"/>
    <n v="51"/>
    <s v="Active"/>
    <n v="4"/>
    <d v="2025-08-13T00:00:00"/>
    <s v="Delayed"/>
    <n v="1307.3599999999999"/>
  </r>
  <r>
    <x v="287"/>
    <s v="Other"/>
    <s v="Teenager"/>
    <x v="3"/>
    <d v="2023-12-22T00:00:00"/>
    <x v="287"/>
    <d v="2024-05-30T00:00:00"/>
    <x v="3"/>
    <s v="Sandwich"/>
    <x v="4"/>
    <n v="1"/>
    <n v="825.55"/>
    <x v="2"/>
    <n v="46"/>
    <d v="2025-01-01T00:00:00"/>
    <n v="451"/>
    <s v="Active"/>
    <n v="4"/>
    <d v="2025-01-17T00:00:00"/>
    <s v="Delayed"/>
    <n v="825.55"/>
  </r>
  <r>
    <x v="288"/>
    <s v="Female"/>
    <s v="Adult"/>
    <x v="3"/>
    <d v="2024-09-05T00:00:00"/>
    <x v="288"/>
    <d v="2024-05-30T00:00:00"/>
    <x v="4"/>
    <s v="Pasta"/>
    <x v="0"/>
    <n v="1"/>
    <n v="1386.29"/>
    <x v="2"/>
    <n v="34"/>
    <d v="2024-11-07T00:00:00"/>
    <n v="160"/>
    <s v="Inactive"/>
    <n v="5"/>
    <d v="2025-02-15T00:00:00"/>
    <s v="Delivered"/>
    <n v="1386.29"/>
  </r>
  <r>
    <x v="289"/>
    <s v="Male"/>
    <s v="Adult"/>
    <x v="2"/>
    <d v="2024-03-05T00:00:00"/>
    <x v="289"/>
    <d v="2024-05-30T00:00:00"/>
    <x v="2"/>
    <s v="Sandwich"/>
    <x v="1"/>
    <n v="4"/>
    <n v="787.98"/>
    <x v="0"/>
    <n v="37"/>
    <d v="2025-03-07T00:00:00"/>
    <n v="31"/>
    <s v="Active"/>
    <m/>
    <d v="2024-10-29T00:00:00"/>
    <s v="Cancelled"/>
    <n v="3151.92"/>
  </r>
  <r>
    <x v="290"/>
    <s v="Other"/>
    <s v="Senior"/>
    <x v="4"/>
    <d v="2024-02-22T00:00:00"/>
    <x v="290"/>
    <d v="2024-05-30T00:00:00"/>
    <x v="3"/>
    <s v="Pasta"/>
    <x v="4"/>
    <n v="5"/>
    <n v="538.88"/>
    <x v="1"/>
    <n v="22"/>
    <d v="2024-10-14T00:00:00"/>
    <n v="243"/>
    <s v="Inactive"/>
    <m/>
    <d v="2024-08-28T00:00:00"/>
    <s v="Cancelled"/>
    <n v="2694.4"/>
  </r>
  <r>
    <x v="291"/>
    <s v="Other"/>
    <s v="Senior"/>
    <x v="1"/>
    <d v="2025-06-03T00:00:00"/>
    <x v="291"/>
    <d v="2024-05-30T00:00:00"/>
    <x v="4"/>
    <s v="Fries"/>
    <x v="2"/>
    <n v="4"/>
    <n v="1438.37"/>
    <x v="0"/>
    <n v="1"/>
    <d v="2025-07-21T00:00:00"/>
    <n v="340"/>
    <s v="Inactive"/>
    <n v="5"/>
    <d v="2025-03-10T00:00:00"/>
    <s v="Delivered"/>
    <n v="5753.48"/>
  </r>
  <r>
    <x v="292"/>
    <s v="Other"/>
    <s v="Teenager"/>
    <x v="3"/>
    <d v="2025-05-31T00:00:00"/>
    <x v="292"/>
    <d v="2024-05-30T00:00:00"/>
    <x v="4"/>
    <s v="Burger"/>
    <x v="3"/>
    <n v="2"/>
    <n v="539.77"/>
    <x v="2"/>
    <n v="45"/>
    <d v="2025-04-26T00:00:00"/>
    <n v="157"/>
    <s v="Inactive"/>
    <m/>
    <d v="2025-02-02T00:00:00"/>
    <s v="Cancelled"/>
    <n v="1079.54"/>
  </r>
  <r>
    <x v="293"/>
    <s v="Female"/>
    <s v="Senior"/>
    <x v="4"/>
    <d v="2024-04-24T00:00:00"/>
    <x v="293"/>
    <d v="2024-05-30T00:00:00"/>
    <x v="4"/>
    <s v="Sandwich"/>
    <x v="3"/>
    <n v="4"/>
    <n v="1007.79"/>
    <x v="1"/>
    <n v="5"/>
    <d v="2024-10-20T00:00:00"/>
    <n v="171"/>
    <s v="Inactive"/>
    <n v="1"/>
    <d v="2024-12-11T00:00:00"/>
    <s v="Delivered"/>
    <n v="4031.16"/>
  </r>
  <r>
    <x v="294"/>
    <s v="Other"/>
    <s v="Adult"/>
    <x v="3"/>
    <d v="2025-01-24T00:00:00"/>
    <x v="294"/>
    <d v="2024-05-30T00:00:00"/>
    <x v="0"/>
    <s v="Pasta"/>
    <x v="4"/>
    <n v="2"/>
    <n v="1359.67"/>
    <x v="2"/>
    <n v="12"/>
    <d v="2024-12-23T00:00:00"/>
    <n v="153"/>
    <s v="Active"/>
    <n v="2"/>
    <d v="2024-10-25T00:00:00"/>
    <s v="Delivered"/>
    <n v="2719.34"/>
  </r>
  <r>
    <x v="295"/>
    <s v="Female"/>
    <s v="Teenager"/>
    <x v="2"/>
    <d v="2025-02-09T00:00:00"/>
    <x v="295"/>
    <d v="2024-05-30T00:00:00"/>
    <x v="4"/>
    <s v="Fries"/>
    <x v="3"/>
    <n v="3"/>
    <n v="1405.04"/>
    <x v="2"/>
    <n v="33"/>
    <d v="2024-12-09T00:00:00"/>
    <n v="268"/>
    <s v="Inactive"/>
    <m/>
    <d v="2025-02-28T00:00:00"/>
    <s v="Cancelled"/>
    <n v="4215.12"/>
  </r>
  <r>
    <x v="296"/>
    <s v="Other"/>
    <s v="Adult"/>
    <x v="1"/>
    <d v="2025-05-19T00:00:00"/>
    <x v="296"/>
    <d v="2024-05-31T00:00:00"/>
    <x v="2"/>
    <s v="Fries"/>
    <x v="4"/>
    <n v="5"/>
    <n v="788.9"/>
    <x v="2"/>
    <n v="23"/>
    <d v="2024-12-05T00:00:00"/>
    <n v="73"/>
    <s v="Active"/>
    <n v="5"/>
    <d v="2024-09-11T00:00:00"/>
    <s v="Delayed"/>
    <n v="3944.5"/>
  </r>
  <r>
    <x v="297"/>
    <s v="Other"/>
    <s v="Senior"/>
    <x v="4"/>
    <d v="2023-10-16T00:00:00"/>
    <x v="297"/>
    <d v="2024-05-31T00:00:00"/>
    <x v="3"/>
    <s v="Sandwich"/>
    <x v="3"/>
    <n v="1"/>
    <n v="337.41"/>
    <x v="0"/>
    <n v="41"/>
    <d v="2025-03-25T00:00:00"/>
    <n v="55"/>
    <s v="Active"/>
    <n v="2"/>
    <d v="2024-12-02T00:00:00"/>
    <s v="Delivered"/>
    <n v="337.41"/>
  </r>
  <r>
    <x v="298"/>
    <s v="Other"/>
    <s v="Adult"/>
    <x v="2"/>
    <d v="2025-07-18T00:00:00"/>
    <x v="298"/>
    <d v="2024-05-31T00:00:00"/>
    <x v="2"/>
    <s v="Pasta"/>
    <x v="4"/>
    <n v="4"/>
    <n v="290.37"/>
    <x v="1"/>
    <n v="24"/>
    <d v="2025-04-12T00:00:00"/>
    <n v="226"/>
    <s v="Inactive"/>
    <n v="2"/>
    <d v="2025-08-19T00:00:00"/>
    <s v="Delivered"/>
    <n v="1161.48"/>
  </r>
  <r>
    <x v="299"/>
    <s v="Female"/>
    <s v="Teenager"/>
    <x v="3"/>
    <d v="2024-08-17T00:00:00"/>
    <x v="299"/>
    <d v="2024-05-31T00:00:00"/>
    <x v="4"/>
    <s v="Burger"/>
    <x v="2"/>
    <n v="4"/>
    <n v="719.53"/>
    <x v="2"/>
    <n v="10"/>
    <d v="2024-11-21T00:00:00"/>
    <n v="457"/>
    <s v="Active"/>
    <m/>
    <d v="2025-02-16T00:00:00"/>
    <s v="Cancelled"/>
    <n v="2878.12"/>
  </r>
  <r>
    <x v="300"/>
    <s v="Other"/>
    <s v="Adult"/>
    <x v="2"/>
    <d v="2024-08-20T00:00:00"/>
    <x v="300"/>
    <d v="2024-05-31T00:00:00"/>
    <x v="2"/>
    <s v="Pasta"/>
    <x v="3"/>
    <n v="3"/>
    <n v="588.48"/>
    <x v="0"/>
    <n v="48"/>
    <d v="2025-02-06T00:00:00"/>
    <n v="352"/>
    <s v="Active"/>
    <m/>
    <d v="2025-07-15T00:00:00"/>
    <s v="Cancelled"/>
    <n v="1765.44"/>
  </r>
  <r>
    <x v="301"/>
    <s v="Female"/>
    <s v="Adult"/>
    <x v="1"/>
    <d v="2024-08-28T00:00:00"/>
    <x v="301"/>
    <d v="2024-05-31T00:00:00"/>
    <x v="0"/>
    <s v="Pizza"/>
    <x v="3"/>
    <n v="3"/>
    <n v="239.85"/>
    <x v="2"/>
    <n v="46"/>
    <d v="2024-10-06T00:00:00"/>
    <n v="360"/>
    <s v="Inactive"/>
    <m/>
    <d v="2025-02-06T00:00:00"/>
    <s v="Cancelled"/>
    <n v="719.55"/>
  </r>
  <r>
    <x v="302"/>
    <s v="Male"/>
    <s v="Teenager"/>
    <x v="1"/>
    <d v="2023-09-07T00:00:00"/>
    <x v="302"/>
    <d v="2024-05-31T00:00:00"/>
    <x v="2"/>
    <s v="Fries"/>
    <x v="4"/>
    <n v="2"/>
    <n v="1098.18"/>
    <x v="0"/>
    <n v="32"/>
    <d v="2025-03-15T00:00:00"/>
    <n v="456"/>
    <s v="Inactive"/>
    <n v="2"/>
    <d v="2025-07-26T00:00:00"/>
    <s v="Delivered"/>
    <n v="2196.36"/>
  </r>
  <r>
    <x v="303"/>
    <s v="Other"/>
    <s v="Teenager"/>
    <x v="0"/>
    <d v="2025-05-03T00:00:00"/>
    <x v="303"/>
    <d v="2024-05-31T00:00:00"/>
    <x v="1"/>
    <s v="Sandwich"/>
    <x v="2"/>
    <n v="5"/>
    <n v="322.42"/>
    <x v="0"/>
    <n v="39"/>
    <d v="2024-11-15T00:00:00"/>
    <n v="441"/>
    <s v="Inactive"/>
    <n v="5"/>
    <d v="2025-01-01T00:00:00"/>
    <s v="Delivered"/>
    <n v="1612.1000000000001"/>
  </r>
  <r>
    <x v="304"/>
    <s v="Female"/>
    <s v="Adult"/>
    <x v="0"/>
    <d v="2024-08-29T00:00:00"/>
    <x v="304"/>
    <d v="2024-05-31T00:00:00"/>
    <x v="0"/>
    <s v="Sandwich"/>
    <x v="3"/>
    <n v="2"/>
    <n v="1089.73"/>
    <x v="0"/>
    <n v="37"/>
    <d v="2024-10-30T00:00:00"/>
    <n v="106"/>
    <s v="Inactive"/>
    <n v="2"/>
    <d v="2025-04-19T00:00:00"/>
    <s v="Delayed"/>
    <n v="2179.46"/>
  </r>
  <r>
    <x v="305"/>
    <s v="Female"/>
    <s v="Adult"/>
    <x v="3"/>
    <d v="2023-08-30T00:00:00"/>
    <x v="305"/>
    <d v="2024-06-01T00:00:00"/>
    <x v="2"/>
    <s v="Pizza"/>
    <x v="2"/>
    <n v="2"/>
    <n v="832.14"/>
    <x v="1"/>
    <n v="36"/>
    <d v="2025-08-19T00:00:00"/>
    <n v="425"/>
    <s v="Active"/>
    <n v="1"/>
    <d v="2025-04-25T00:00:00"/>
    <s v="Delayed"/>
    <n v="1664.28"/>
  </r>
  <r>
    <x v="306"/>
    <s v="Other"/>
    <s v="Senior"/>
    <x v="2"/>
    <d v="2024-09-02T00:00:00"/>
    <x v="306"/>
    <d v="2024-06-01T00:00:00"/>
    <x v="4"/>
    <s v="Fries"/>
    <x v="1"/>
    <n v="2"/>
    <n v="966.24"/>
    <x v="2"/>
    <n v="39"/>
    <d v="2024-09-29T00:00:00"/>
    <n v="119"/>
    <s v="Active"/>
    <m/>
    <d v="2025-05-14T00:00:00"/>
    <s v="Cancelled"/>
    <n v="1932.48"/>
  </r>
  <r>
    <x v="307"/>
    <s v="Male"/>
    <s v="Teenager"/>
    <x v="3"/>
    <d v="2024-06-29T00:00:00"/>
    <x v="307"/>
    <d v="2024-06-01T00:00:00"/>
    <x v="0"/>
    <s v="Burger"/>
    <x v="0"/>
    <n v="5"/>
    <n v="1148.79"/>
    <x v="0"/>
    <n v="50"/>
    <d v="2024-10-18T00:00:00"/>
    <n v="345"/>
    <s v="Active"/>
    <n v="4"/>
    <d v="2025-01-17T00:00:00"/>
    <s v="Delivered"/>
    <n v="5743.95"/>
  </r>
  <r>
    <x v="308"/>
    <s v="Other"/>
    <s v="Adult"/>
    <x v="4"/>
    <d v="2023-10-18T00:00:00"/>
    <x v="308"/>
    <d v="2024-06-01T00:00:00"/>
    <x v="2"/>
    <s v="Burger"/>
    <x v="3"/>
    <n v="5"/>
    <n v="146.74"/>
    <x v="2"/>
    <n v="16"/>
    <d v="2025-07-08T00:00:00"/>
    <n v="383"/>
    <s v="Active"/>
    <m/>
    <d v="2024-09-18T00:00:00"/>
    <s v="Cancelled"/>
    <n v="733.7"/>
  </r>
  <r>
    <x v="309"/>
    <s v="Female"/>
    <s v="Senior"/>
    <x v="4"/>
    <d v="2024-05-09T00:00:00"/>
    <x v="309"/>
    <d v="2024-06-01T00:00:00"/>
    <x v="2"/>
    <s v="Pizza"/>
    <x v="3"/>
    <n v="1"/>
    <n v="1040.28"/>
    <x v="2"/>
    <n v="10"/>
    <d v="2025-04-06T00:00:00"/>
    <n v="129"/>
    <s v="Active"/>
    <n v="4"/>
    <d v="2025-02-09T00:00:00"/>
    <s v="Delayed"/>
    <n v="1040.28"/>
  </r>
  <r>
    <x v="310"/>
    <s v="Male"/>
    <s v="Adult"/>
    <x v="1"/>
    <d v="2025-01-02T00:00:00"/>
    <x v="310"/>
    <d v="2024-06-01T00:00:00"/>
    <x v="2"/>
    <s v="Sandwich"/>
    <x v="4"/>
    <n v="2"/>
    <n v="1294.54"/>
    <x v="2"/>
    <n v="31"/>
    <d v="2025-07-12T00:00:00"/>
    <n v="96"/>
    <s v="Inactive"/>
    <m/>
    <d v="2025-08-09T00:00:00"/>
    <s v="Cancelled"/>
    <n v="2589.08"/>
  </r>
  <r>
    <x v="311"/>
    <s v="Male"/>
    <s v="Senior"/>
    <x v="1"/>
    <d v="2024-02-06T00:00:00"/>
    <x v="311"/>
    <d v="2024-06-01T00:00:00"/>
    <x v="3"/>
    <s v="Pizza"/>
    <x v="1"/>
    <n v="3"/>
    <n v="714.7"/>
    <x v="0"/>
    <n v="14"/>
    <d v="2024-11-19T00:00:00"/>
    <n v="193"/>
    <s v="Active"/>
    <n v="5"/>
    <d v="2024-10-30T00:00:00"/>
    <s v="Delivered"/>
    <n v="2144.1000000000004"/>
  </r>
  <r>
    <x v="312"/>
    <s v="Female"/>
    <s v="Adult"/>
    <x v="4"/>
    <d v="2025-03-13T00:00:00"/>
    <x v="312"/>
    <d v="2024-06-01T00:00:00"/>
    <x v="2"/>
    <s v="Pizza"/>
    <x v="1"/>
    <n v="2"/>
    <n v="277.02"/>
    <x v="0"/>
    <n v="29"/>
    <d v="2025-07-05T00:00:00"/>
    <n v="394"/>
    <s v="Inactive"/>
    <n v="3"/>
    <d v="2025-05-14T00:00:00"/>
    <s v="Delivered"/>
    <n v="554.04"/>
  </r>
  <r>
    <x v="313"/>
    <s v="Other"/>
    <s v="Adult"/>
    <x v="0"/>
    <d v="2025-06-29T00:00:00"/>
    <x v="313"/>
    <d v="2024-06-01T00:00:00"/>
    <x v="2"/>
    <s v="Burger"/>
    <x v="0"/>
    <n v="1"/>
    <n v="992.84"/>
    <x v="2"/>
    <n v="45"/>
    <d v="2025-01-01T00:00:00"/>
    <n v="31"/>
    <s v="Inactive"/>
    <n v="1"/>
    <d v="2025-01-05T00:00:00"/>
    <s v="Delayed"/>
    <n v="992.84"/>
  </r>
  <r>
    <x v="314"/>
    <s v="Male"/>
    <s v="Senior"/>
    <x v="1"/>
    <d v="2025-08-12T00:00:00"/>
    <x v="314"/>
    <d v="2024-06-01T00:00:00"/>
    <x v="1"/>
    <s v="Burger"/>
    <x v="3"/>
    <n v="4"/>
    <n v="134.74"/>
    <x v="0"/>
    <n v="8"/>
    <d v="2025-05-01T00:00:00"/>
    <n v="294"/>
    <s v="Active"/>
    <m/>
    <d v="2025-03-07T00:00:00"/>
    <s v="Cancelled"/>
    <n v="538.96"/>
  </r>
  <r>
    <x v="315"/>
    <s v="Male"/>
    <s v="Adult"/>
    <x v="1"/>
    <d v="2025-04-10T00:00:00"/>
    <x v="315"/>
    <d v="2024-06-01T00:00:00"/>
    <x v="3"/>
    <s v="Fries"/>
    <x v="4"/>
    <n v="2"/>
    <n v="1410.94"/>
    <x v="0"/>
    <n v="46"/>
    <d v="2025-08-13T00:00:00"/>
    <n v="41"/>
    <s v="Active"/>
    <n v="3"/>
    <d v="2025-04-30T00:00:00"/>
    <s v="Delivered"/>
    <n v="2821.88"/>
  </r>
  <r>
    <x v="316"/>
    <s v="Male"/>
    <s v="Teenager"/>
    <x v="3"/>
    <d v="2024-11-07T00:00:00"/>
    <x v="316"/>
    <d v="2024-06-02T00:00:00"/>
    <x v="0"/>
    <s v="Burger"/>
    <x v="3"/>
    <n v="2"/>
    <n v="737.89"/>
    <x v="1"/>
    <n v="12"/>
    <d v="2024-09-03T00:00:00"/>
    <n v="107"/>
    <s v="Inactive"/>
    <n v="2"/>
    <d v="2024-11-02T00:00:00"/>
    <s v="Delayed"/>
    <n v="1475.78"/>
  </r>
  <r>
    <x v="317"/>
    <s v="Male"/>
    <s v="Senior"/>
    <x v="1"/>
    <d v="2023-09-26T00:00:00"/>
    <x v="317"/>
    <d v="2024-06-02T00:00:00"/>
    <x v="3"/>
    <s v="Pizza"/>
    <x v="1"/>
    <n v="4"/>
    <n v="924.91"/>
    <x v="1"/>
    <n v="18"/>
    <d v="2024-12-21T00:00:00"/>
    <n v="482"/>
    <s v="Active"/>
    <m/>
    <d v="2024-11-27T00:00:00"/>
    <s v="Cancelled"/>
    <n v="3699.64"/>
  </r>
  <r>
    <x v="318"/>
    <s v="Female"/>
    <s v="Adult"/>
    <x v="1"/>
    <d v="2024-06-16T00:00:00"/>
    <x v="318"/>
    <d v="2024-06-02T00:00:00"/>
    <x v="1"/>
    <s v="Pizza"/>
    <x v="4"/>
    <n v="5"/>
    <n v="1388.35"/>
    <x v="2"/>
    <n v="26"/>
    <d v="2025-03-24T00:00:00"/>
    <n v="228"/>
    <s v="Inactive"/>
    <m/>
    <d v="2024-08-31T00:00:00"/>
    <s v="Cancelled"/>
    <n v="6941.75"/>
  </r>
  <r>
    <x v="319"/>
    <s v="Male"/>
    <s v="Senior"/>
    <x v="0"/>
    <d v="2023-12-30T00:00:00"/>
    <x v="319"/>
    <d v="2024-06-03T00:00:00"/>
    <x v="3"/>
    <s v="Fries"/>
    <x v="4"/>
    <n v="2"/>
    <n v="1438.16"/>
    <x v="1"/>
    <n v="30"/>
    <d v="2024-10-01T00:00:00"/>
    <n v="262"/>
    <s v="Active"/>
    <n v="2"/>
    <d v="2025-07-22T00:00:00"/>
    <s v="Delivered"/>
    <n v="2876.32"/>
  </r>
  <r>
    <x v="320"/>
    <s v="Female"/>
    <s v="Senior"/>
    <x v="1"/>
    <d v="2023-09-05T00:00:00"/>
    <x v="320"/>
    <d v="2024-06-03T00:00:00"/>
    <x v="0"/>
    <s v="Pasta"/>
    <x v="2"/>
    <n v="4"/>
    <n v="1372.11"/>
    <x v="2"/>
    <n v="35"/>
    <d v="2024-10-12T00:00:00"/>
    <n v="491"/>
    <s v="Active"/>
    <m/>
    <d v="2025-01-02T00:00:00"/>
    <s v="Cancelled"/>
    <n v="5488.44"/>
  </r>
  <r>
    <x v="321"/>
    <s v="Male"/>
    <s v="Senior"/>
    <x v="4"/>
    <d v="2024-05-03T00:00:00"/>
    <x v="321"/>
    <d v="2024-06-03T00:00:00"/>
    <x v="4"/>
    <s v="Burger"/>
    <x v="2"/>
    <n v="1"/>
    <n v="438"/>
    <x v="0"/>
    <n v="7"/>
    <d v="2025-08-15T00:00:00"/>
    <n v="124"/>
    <s v="Inactive"/>
    <n v="2"/>
    <d v="2024-11-24T00:00:00"/>
    <s v="Delayed"/>
    <n v="438"/>
  </r>
  <r>
    <x v="322"/>
    <s v="Female"/>
    <s v="Teenager"/>
    <x v="2"/>
    <d v="2024-07-11T00:00:00"/>
    <x v="322"/>
    <d v="2024-06-03T00:00:00"/>
    <x v="1"/>
    <s v="Fries"/>
    <x v="3"/>
    <n v="4"/>
    <n v="1426.2"/>
    <x v="1"/>
    <n v="47"/>
    <d v="2025-01-20T00:00:00"/>
    <n v="372"/>
    <s v="Active"/>
    <n v="2"/>
    <d v="2024-10-06T00:00:00"/>
    <s v="Delivered"/>
    <n v="5704.8"/>
  </r>
  <r>
    <x v="323"/>
    <s v="Male"/>
    <s v="Adult"/>
    <x v="0"/>
    <d v="2024-08-01T00:00:00"/>
    <x v="323"/>
    <d v="2024-06-03T00:00:00"/>
    <x v="0"/>
    <s v="Burger"/>
    <x v="1"/>
    <n v="3"/>
    <n v="1041.28"/>
    <x v="2"/>
    <n v="26"/>
    <d v="2025-01-08T00:00:00"/>
    <n v="338"/>
    <s v="Inactive"/>
    <m/>
    <d v="2025-08-21T00:00:00"/>
    <s v="Cancelled"/>
    <n v="3123.84"/>
  </r>
  <r>
    <x v="324"/>
    <s v="Male"/>
    <s v="Senior"/>
    <x v="2"/>
    <d v="2024-08-25T00:00:00"/>
    <x v="324"/>
    <d v="2024-06-03T00:00:00"/>
    <x v="0"/>
    <s v="Sandwich"/>
    <x v="2"/>
    <n v="3"/>
    <n v="612.37"/>
    <x v="2"/>
    <n v="12"/>
    <d v="2025-03-09T00:00:00"/>
    <n v="414"/>
    <s v="Active"/>
    <m/>
    <d v="2025-04-14T00:00:00"/>
    <s v="Cancelled"/>
    <n v="1837.1100000000001"/>
  </r>
  <r>
    <x v="325"/>
    <s v="Female"/>
    <s v="Teenager"/>
    <x v="2"/>
    <d v="2024-04-04T00:00:00"/>
    <x v="325"/>
    <d v="2024-06-03T00:00:00"/>
    <x v="3"/>
    <s v="Fries"/>
    <x v="3"/>
    <n v="3"/>
    <n v="757.95"/>
    <x v="2"/>
    <n v="5"/>
    <d v="2025-05-01T00:00:00"/>
    <n v="297"/>
    <s v="Inactive"/>
    <m/>
    <d v="2025-07-20T00:00:00"/>
    <s v="Cancelled"/>
    <n v="2273.8500000000004"/>
  </r>
  <r>
    <x v="326"/>
    <s v="Female"/>
    <s v="Teenager"/>
    <x v="4"/>
    <d v="2025-01-08T00:00:00"/>
    <x v="326"/>
    <d v="2024-06-03T00:00:00"/>
    <x v="0"/>
    <s v="Burger"/>
    <x v="0"/>
    <n v="5"/>
    <n v="548.1"/>
    <x v="1"/>
    <n v="35"/>
    <d v="2025-05-25T00:00:00"/>
    <n v="182"/>
    <s v="Inactive"/>
    <m/>
    <d v="2025-05-20T00:00:00"/>
    <s v="Cancelled"/>
    <n v="2740.5"/>
  </r>
  <r>
    <x v="327"/>
    <s v="Other"/>
    <s v="Senior"/>
    <x v="4"/>
    <d v="2025-01-01T00:00:00"/>
    <x v="327"/>
    <d v="2024-06-03T00:00:00"/>
    <x v="2"/>
    <s v="Pizza"/>
    <x v="4"/>
    <n v="1"/>
    <n v="562.67999999999995"/>
    <x v="2"/>
    <n v="2"/>
    <d v="2025-04-14T00:00:00"/>
    <n v="236"/>
    <s v="Inactive"/>
    <m/>
    <d v="2025-04-21T00:00:00"/>
    <s v="Cancelled"/>
    <n v="562.67999999999995"/>
  </r>
  <r>
    <x v="328"/>
    <s v="Female"/>
    <s v="Senior"/>
    <x v="2"/>
    <d v="2024-01-06T00:00:00"/>
    <x v="328"/>
    <d v="2024-06-03T00:00:00"/>
    <x v="1"/>
    <s v="Pasta"/>
    <x v="2"/>
    <n v="3"/>
    <n v="863.26"/>
    <x v="0"/>
    <n v="30"/>
    <d v="2025-05-12T00:00:00"/>
    <n v="265"/>
    <s v="Active"/>
    <n v="3"/>
    <d v="2024-09-14T00:00:00"/>
    <s v="Delivered"/>
    <n v="2589.7799999999997"/>
  </r>
  <r>
    <x v="329"/>
    <s v="Female"/>
    <s v="Adult"/>
    <x v="4"/>
    <d v="2025-02-10T00:00:00"/>
    <x v="329"/>
    <d v="2024-06-04T00:00:00"/>
    <x v="3"/>
    <s v="Pizza"/>
    <x v="4"/>
    <n v="3"/>
    <n v="460.02"/>
    <x v="1"/>
    <n v="16"/>
    <d v="2025-03-13T00:00:00"/>
    <n v="360"/>
    <s v="Active"/>
    <n v="3"/>
    <d v="2025-07-28T00:00:00"/>
    <s v="Delivered"/>
    <n v="1380.06"/>
  </r>
  <r>
    <x v="330"/>
    <s v="Other"/>
    <s v="Teenager"/>
    <x v="2"/>
    <d v="2024-10-12T00:00:00"/>
    <x v="330"/>
    <d v="2024-06-04T00:00:00"/>
    <x v="1"/>
    <s v="Fries"/>
    <x v="2"/>
    <n v="3"/>
    <n v="1164.1199999999999"/>
    <x v="2"/>
    <n v="14"/>
    <d v="2025-05-24T00:00:00"/>
    <n v="247"/>
    <s v="Inactive"/>
    <n v="4"/>
    <d v="2025-07-09T00:00:00"/>
    <s v="Delayed"/>
    <n v="3492.3599999999997"/>
  </r>
  <r>
    <x v="331"/>
    <s v="Male"/>
    <s v="Teenager"/>
    <x v="2"/>
    <d v="2024-09-08T00:00:00"/>
    <x v="331"/>
    <d v="2024-06-04T00:00:00"/>
    <x v="4"/>
    <s v="Pasta"/>
    <x v="4"/>
    <n v="3"/>
    <n v="1491.06"/>
    <x v="2"/>
    <n v="49"/>
    <d v="2025-05-25T00:00:00"/>
    <n v="274"/>
    <s v="Active"/>
    <m/>
    <d v="2025-07-24T00:00:00"/>
    <s v="Cancelled"/>
    <n v="4473.18"/>
  </r>
  <r>
    <x v="332"/>
    <s v="Other"/>
    <s v="Senior"/>
    <x v="4"/>
    <d v="2025-06-26T00:00:00"/>
    <x v="332"/>
    <d v="2024-06-04T00:00:00"/>
    <x v="2"/>
    <s v="Fries"/>
    <x v="2"/>
    <n v="2"/>
    <n v="264.49"/>
    <x v="2"/>
    <n v="5"/>
    <d v="2024-11-15T00:00:00"/>
    <n v="7"/>
    <s v="Inactive"/>
    <n v="5"/>
    <d v="2024-11-23T00:00:00"/>
    <s v="Delayed"/>
    <n v="528.98"/>
  </r>
  <r>
    <x v="333"/>
    <s v="Other"/>
    <s v="Teenager"/>
    <x v="1"/>
    <d v="2024-08-11T00:00:00"/>
    <x v="333"/>
    <d v="2024-06-04T00:00:00"/>
    <x v="0"/>
    <s v="Pizza"/>
    <x v="3"/>
    <n v="5"/>
    <n v="300.02999999999997"/>
    <x v="1"/>
    <n v="3"/>
    <d v="2025-07-27T00:00:00"/>
    <n v="341"/>
    <s v="Active"/>
    <n v="1"/>
    <d v="2025-05-31T00:00:00"/>
    <s v="Delayed"/>
    <n v="1500.1499999999999"/>
  </r>
  <r>
    <x v="334"/>
    <s v="Male"/>
    <s v="Teenager"/>
    <x v="1"/>
    <d v="2024-08-14T00:00:00"/>
    <x v="334"/>
    <d v="2024-06-04T00:00:00"/>
    <x v="4"/>
    <s v="Burger"/>
    <x v="0"/>
    <n v="3"/>
    <n v="1420.81"/>
    <x v="0"/>
    <n v="24"/>
    <d v="2025-05-12T00:00:00"/>
    <n v="238"/>
    <s v="Inactive"/>
    <n v="4"/>
    <d v="2025-03-06T00:00:00"/>
    <s v="Delivered"/>
    <n v="4262.43"/>
  </r>
  <r>
    <x v="335"/>
    <s v="Male"/>
    <s v="Adult"/>
    <x v="4"/>
    <d v="2023-10-25T00:00:00"/>
    <x v="335"/>
    <d v="2024-06-04T00:00:00"/>
    <x v="4"/>
    <s v="Pizza"/>
    <x v="2"/>
    <n v="1"/>
    <n v="136.56"/>
    <x v="1"/>
    <n v="28"/>
    <d v="2025-07-04T00:00:00"/>
    <n v="25"/>
    <s v="Active"/>
    <n v="1"/>
    <d v="2024-12-13T00:00:00"/>
    <s v="Delivered"/>
    <n v="136.56"/>
  </r>
  <r>
    <x v="336"/>
    <s v="Male"/>
    <s v="Teenager"/>
    <x v="4"/>
    <d v="2024-11-07T00:00:00"/>
    <x v="336"/>
    <d v="2024-06-04T00:00:00"/>
    <x v="3"/>
    <s v="Sandwich"/>
    <x v="3"/>
    <n v="4"/>
    <n v="327.77"/>
    <x v="1"/>
    <n v="46"/>
    <d v="2024-10-31T00:00:00"/>
    <n v="123"/>
    <s v="Active"/>
    <m/>
    <d v="2024-12-30T00:00:00"/>
    <s v="Cancelled"/>
    <n v="1311.08"/>
  </r>
  <r>
    <x v="337"/>
    <s v="Other"/>
    <s v="Adult"/>
    <x v="0"/>
    <d v="2024-02-16T00:00:00"/>
    <x v="337"/>
    <d v="2024-06-05T00:00:00"/>
    <x v="4"/>
    <s v="Fries"/>
    <x v="0"/>
    <n v="1"/>
    <n v="1360.42"/>
    <x v="2"/>
    <n v="47"/>
    <d v="2024-12-10T00:00:00"/>
    <n v="418"/>
    <s v="Active"/>
    <n v="4"/>
    <d v="2025-08-11T00:00:00"/>
    <s v="Delivered"/>
    <n v="1360.42"/>
  </r>
  <r>
    <x v="338"/>
    <s v="Female"/>
    <s v="Adult"/>
    <x v="1"/>
    <d v="2024-01-22T00:00:00"/>
    <x v="338"/>
    <d v="2024-06-05T00:00:00"/>
    <x v="3"/>
    <s v="Sandwich"/>
    <x v="1"/>
    <n v="3"/>
    <n v="640.49"/>
    <x v="2"/>
    <n v="26"/>
    <d v="2024-11-02T00:00:00"/>
    <n v="436"/>
    <s v="Inactive"/>
    <n v="3"/>
    <d v="2025-04-10T00:00:00"/>
    <s v="Delivered"/>
    <n v="1921.47"/>
  </r>
  <r>
    <x v="339"/>
    <s v="Other"/>
    <s v="Teenager"/>
    <x v="3"/>
    <d v="2024-01-17T00:00:00"/>
    <x v="339"/>
    <d v="2024-06-05T00:00:00"/>
    <x v="2"/>
    <s v="Sandwich"/>
    <x v="4"/>
    <n v="3"/>
    <n v="1267.47"/>
    <x v="1"/>
    <n v="5"/>
    <d v="2025-08-12T00:00:00"/>
    <n v="297"/>
    <s v="Active"/>
    <n v="2"/>
    <d v="2025-08-13T00:00:00"/>
    <s v="Delayed"/>
    <n v="3802.41"/>
  </r>
  <r>
    <x v="340"/>
    <s v="Male"/>
    <s v="Senior"/>
    <x v="4"/>
    <d v="2025-08-18T00:00:00"/>
    <x v="340"/>
    <d v="2024-06-05T00:00:00"/>
    <x v="4"/>
    <s v="Sandwich"/>
    <x v="1"/>
    <n v="4"/>
    <n v="252.12"/>
    <x v="2"/>
    <n v="20"/>
    <d v="2024-11-01T00:00:00"/>
    <n v="350"/>
    <s v="Active"/>
    <n v="2"/>
    <d v="2024-09-15T00:00:00"/>
    <s v="Delivered"/>
    <n v="1008.48"/>
  </r>
  <r>
    <x v="341"/>
    <s v="Female"/>
    <s v="Teenager"/>
    <x v="3"/>
    <d v="2024-10-22T00:00:00"/>
    <x v="341"/>
    <d v="2024-06-06T00:00:00"/>
    <x v="4"/>
    <s v="Burger"/>
    <x v="4"/>
    <n v="4"/>
    <n v="1452.09"/>
    <x v="2"/>
    <n v="36"/>
    <d v="2025-04-16T00:00:00"/>
    <n v="50"/>
    <s v="Active"/>
    <n v="2"/>
    <d v="2025-05-27T00:00:00"/>
    <s v="Delayed"/>
    <n v="5808.36"/>
  </r>
  <r>
    <x v="342"/>
    <s v="Male"/>
    <s v="Senior"/>
    <x v="3"/>
    <d v="2025-02-03T00:00:00"/>
    <x v="342"/>
    <d v="2024-06-06T00:00:00"/>
    <x v="0"/>
    <s v="Fries"/>
    <x v="0"/>
    <n v="1"/>
    <n v="186.75"/>
    <x v="0"/>
    <n v="29"/>
    <d v="2025-01-29T00:00:00"/>
    <n v="88"/>
    <s v="Inactive"/>
    <n v="3"/>
    <d v="2024-12-06T00:00:00"/>
    <s v="Delivered"/>
    <n v="186.75"/>
  </r>
  <r>
    <x v="343"/>
    <s v="Female"/>
    <s v="Teenager"/>
    <x v="1"/>
    <d v="2025-04-20T00:00:00"/>
    <x v="343"/>
    <d v="2024-06-06T00:00:00"/>
    <x v="1"/>
    <s v="Sandwich"/>
    <x v="0"/>
    <n v="1"/>
    <n v="329.03"/>
    <x v="1"/>
    <n v="43"/>
    <d v="2024-12-29T00:00:00"/>
    <n v="76"/>
    <s v="Active"/>
    <n v="4"/>
    <d v="2024-12-15T00:00:00"/>
    <s v="Delivered"/>
    <n v="329.03"/>
  </r>
  <r>
    <x v="344"/>
    <s v="Male"/>
    <s v="Senior"/>
    <x v="4"/>
    <d v="2023-09-02T00:00:00"/>
    <x v="344"/>
    <d v="2024-06-06T00:00:00"/>
    <x v="0"/>
    <s v="Pasta"/>
    <x v="4"/>
    <n v="1"/>
    <n v="252.64"/>
    <x v="2"/>
    <n v="29"/>
    <d v="2025-03-02T00:00:00"/>
    <n v="286"/>
    <s v="Active"/>
    <n v="5"/>
    <d v="2025-04-29T00:00:00"/>
    <s v="Delivered"/>
    <n v="252.64"/>
  </r>
  <r>
    <x v="345"/>
    <s v="Male"/>
    <s v="Senior"/>
    <x v="1"/>
    <d v="2023-10-26T00:00:00"/>
    <x v="345"/>
    <d v="2024-06-06T00:00:00"/>
    <x v="2"/>
    <s v="Pasta"/>
    <x v="3"/>
    <n v="5"/>
    <n v="647.48"/>
    <x v="0"/>
    <n v="32"/>
    <d v="2025-02-16T00:00:00"/>
    <n v="95"/>
    <s v="Active"/>
    <n v="4"/>
    <d v="2025-03-27T00:00:00"/>
    <s v="Delayed"/>
    <n v="3237.4"/>
  </r>
  <r>
    <x v="346"/>
    <s v="Other"/>
    <s v="Senior"/>
    <x v="2"/>
    <d v="2023-09-03T00:00:00"/>
    <x v="346"/>
    <d v="2024-06-06T00:00:00"/>
    <x v="4"/>
    <s v="Fries"/>
    <x v="0"/>
    <n v="1"/>
    <n v="246.04"/>
    <x v="0"/>
    <n v="40"/>
    <d v="2025-02-08T00:00:00"/>
    <n v="431"/>
    <s v="Active"/>
    <n v="2"/>
    <d v="2025-07-30T00:00:00"/>
    <s v="Delivered"/>
    <n v="246.04"/>
  </r>
  <r>
    <x v="347"/>
    <s v="Other"/>
    <s v="Adult"/>
    <x v="4"/>
    <d v="2024-07-18T00:00:00"/>
    <x v="347"/>
    <d v="2024-06-06T00:00:00"/>
    <x v="0"/>
    <s v="Sandwich"/>
    <x v="4"/>
    <n v="5"/>
    <n v="300.25"/>
    <x v="1"/>
    <n v="42"/>
    <d v="2025-06-20T00:00:00"/>
    <n v="190"/>
    <s v="Inactive"/>
    <n v="3"/>
    <d v="2025-07-07T00:00:00"/>
    <s v="Delivered"/>
    <n v="1501.25"/>
  </r>
  <r>
    <x v="348"/>
    <s v="Female"/>
    <s v="Teenager"/>
    <x v="3"/>
    <d v="2023-11-07T00:00:00"/>
    <x v="348"/>
    <d v="2024-06-07T00:00:00"/>
    <x v="2"/>
    <s v="Fries"/>
    <x v="4"/>
    <n v="1"/>
    <n v="288.39"/>
    <x v="0"/>
    <n v="35"/>
    <d v="2025-02-17T00:00:00"/>
    <n v="405"/>
    <s v="Active"/>
    <n v="2"/>
    <d v="2025-02-12T00:00:00"/>
    <s v="Delivered"/>
    <n v="288.39"/>
  </r>
  <r>
    <x v="349"/>
    <s v="Other"/>
    <s v="Senior"/>
    <x v="3"/>
    <d v="2025-03-04T00:00:00"/>
    <x v="349"/>
    <d v="2024-06-07T00:00:00"/>
    <x v="4"/>
    <s v="Pasta"/>
    <x v="4"/>
    <n v="2"/>
    <n v="1478.57"/>
    <x v="0"/>
    <n v="7"/>
    <d v="2025-07-31T00:00:00"/>
    <n v="154"/>
    <s v="Inactive"/>
    <n v="5"/>
    <d v="2025-06-20T00:00:00"/>
    <s v="Delayed"/>
    <n v="2957.14"/>
  </r>
  <r>
    <x v="350"/>
    <s v="Other"/>
    <s v="Adult"/>
    <x v="2"/>
    <d v="2025-07-14T00:00:00"/>
    <x v="350"/>
    <d v="2024-06-07T00:00:00"/>
    <x v="1"/>
    <s v="Pasta"/>
    <x v="1"/>
    <n v="2"/>
    <n v="978.69"/>
    <x v="0"/>
    <n v="17"/>
    <d v="2025-07-17T00:00:00"/>
    <n v="253"/>
    <s v="Inactive"/>
    <m/>
    <d v="2025-07-16T00:00:00"/>
    <s v="Cancelled"/>
    <n v="1957.38"/>
  </r>
  <r>
    <x v="351"/>
    <s v="Other"/>
    <s v="Adult"/>
    <x v="1"/>
    <d v="2025-06-07T00:00:00"/>
    <x v="351"/>
    <d v="2024-06-07T00:00:00"/>
    <x v="3"/>
    <s v="Sandwich"/>
    <x v="1"/>
    <n v="3"/>
    <n v="927.29"/>
    <x v="1"/>
    <n v="22"/>
    <d v="2024-12-05T00:00:00"/>
    <n v="414"/>
    <s v="Active"/>
    <m/>
    <d v="2025-06-04T00:00:00"/>
    <s v="Cancelled"/>
    <n v="2781.87"/>
  </r>
  <r>
    <x v="352"/>
    <s v="Other"/>
    <s v="Teenager"/>
    <x v="1"/>
    <d v="2025-08-04T00:00:00"/>
    <x v="352"/>
    <d v="2024-06-07T00:00:00"/>
    <x v="1"/>
    <s v="Pasta"/>
    <x v="2"/>
    <n v="3"/>
    <n v="777.19"/>
    <x v="2"/>
    <n v="6"/>
    <d v="2024-11-27T00:00:00"/>
    <n v="236"/>
    <s v="Inactive"/>
    <n v="4"/>
    <d v="2025-06-29T00:00:00"/>
    <s v="Delayed"/>
    <n v="2331.5700000000002"/>
  </r>
  <r>
    <x v="353"/>
    <s v="Other"/>
    <s v="Adult"/>
    <x v="2"/>
    <d v="2024-05-03T00:00:00"/>
    <x v="353"/>
    <d v="2024-06-07T00:00:00"/>
    <x v="2"/>
    <s v="Fries"/>
    <x v="3"/>
    <n v="4"/>
    <n v="822.44"/>
    <x v="1"/>
    <n v="49"/>
    <d v="2025-01-13T00:00:00"/>
    <n v="51"/>
    <s v="Active"/>
    <n v="4"/>
    <d v="2025-08-02T00:00:00"/>
    <s v="Delayed"/>
    <n v="3289.76"/>
  </r>
  <r>
    <x v="354"/>
    <s v="Male"/>
    <s v="Senior"/>
    <x v="4"/>
    <d v="2025-04-29T00:00:00"/>
    <x v="354"/>
    <d v="2024-06-08T00:00:00"/>
    <x v="4"/>
    <s v="Sandwich"/>
    <x v="1"/>
    <n v="2"/>
    <n v="774.83"/>
    <x v="2"/>
    <n v="21"/>
    <d v="2025-01-11T00:00:00"/>
    <n v="158"/>
    <s v="Active"/>
    <n v="4"/>
    <d v="2025-03-08T00:00:00"/>
    <s v="Delayed"/>
    <n v="1549.66"/>
  </r>
  <r>
    <x v="355"/>
    <s v="Female"/>
    <s v="Teenager"/>
    <x v="0"/>
    <d v="2023-09-01T00:00:00"/>
    <x v="355"/>
    <d v="2024-06-08T00:00:00"/>
    <x v="3"/>
    <s v="Pizza"/>
    <x v="3"/>
    <n v="5"/>
    <n v="967.55"/>
    <x v="1"/>
    <n v="26"/>
    <d v="2025-03-27T00:00:00"/>
    <n v="435"/>
    <s v="Active"/>
    <n v="2"/>
    <d v="2024-09-15T00:00:00"/>
    <s v="Delayed"/>
    <n v="4837.75"/>
  </r>
  <r>
    <x v="356"/>
    <s v="Other"/>
    <s v="Adult"/>
    <x v="1"/>
    <d v="2025-04-05T00:00:00"/>
    <x v="356"/>
    <d v="2024-06-08T00:00:00"/>
    <x v="4"/>
    <s v="Burger"/>
    <x v="1"/>
    <n v="3"/>
    <n v="1391.23"/>
    <x v="1"/>
    <n v="50"/>
    <d v="2025-07-02T00:00:00"/>
    <n v="54"/>
    <s v="Inactive"/>
    <n v="1"/>
    <d v="2025-07-03T00:00:00"/>
    <s v="Delayed"/>
    <n v="4173.6900000000005"/>
  </r>
  <r>
    <x v="357"/>
    <s v="Other"/>
    <s v="Teenager"/>
    <x v="3"/>
    <d v="2023-11-08T00:00:00"/>
    <x v="357"/>
    <d v="2024-06-08T00:00:00"/>
    <x v="1"/>
    <s v="Burger"/>
    <x v="3"/>
    <n v="5"/>
    <n v="1012.9"/>
    <x v="0"/>
    <n v="16"/>
    <d v="2025-05-03T00:00:00"/>
    <n v="394"/>
    <s v="Active"/>
    <n v="4"/>
    <d v="2024-10-17T00:00:00"/>
    <s v="Delivered"/>
    <n v="5064.5"/>
  </r>
  <r>
    <x v="358"/>
    <s v="Female"/>
    <s v="Senior"/>
    <x v="3"/>
    <d v="2025-05-16T00:00:00"/>
    <x v="358"/>
    <d v="2024-06-08T00:00:00"/>
    <x v="4"/>
    <s v="Pasta"/>
    <x v="4"/>
    <n v="5"/>
    <n v="729.72"/>
    <x v="0"/>
    <n v="18"/>
    <d v="2025-07-26T00:00:00"/>
    <n v="381"/>
    <s v="Active"/>
    <n v="5"/>
    <d v="2025-06-09T00:00:00"/>
    <s v="Delayed"/>
    <n v="3648.6000000000004"/>
  </r>
  <r>
    <x v="359"/>
    <s v="Female"/>
    <s v="Adult"/>
    <x v="3"/>
    <d v="2024-12-26T00:00:00"/>
    <x v="359"/>
    <d v="2024-06-08T00:00:00"/>
    <x v="2"/>
    <s v="Pasta"/>
    <x v="4"/>
    <n v="4"/>
    <n v="1009.09"/>
    <x v="2"/>
    <n v="7"/>
    <d v="2025-04-23T00:00:00"/>
    <n v="342"/>
    <s v="Active"/>
    <n v="4"/>
    <d v="2024-10-03T00:00:00"/>
    <s v="Delivered"/>
    <n v="4036.36"/>
  </r>
  <r>
    <x v="360"/>
    <s v="Male"/>
    <s v="Teenager"/>
    <x v="4"/>
    <d v="2025-05-20T00:00:00"/>
    <x v="360"/>
    <d v="2024-06-08T00:00:00"/>
    <x v="0"/>
    <s v="Pizza"/>
    <x v="4"/>
    <n v="1"/>
    <n v="1485.59"/>
    <x v="1"/>
    <n v="43"/>
    <d v="2025-05-05T00:00:00"/>
    <n v="45"/>
    <s v="Active"/>
    <n v="1"/>
    <d v="2025-06-14T00:00:00"/>
    <s v="Delivered"/>
    <n v="1485.59"/>
  </r>
  <r>
    <x v="361"/>
    <s v="Other"/>
    <s v="Teenager"/>
    <x v="3"/>
    <d v="2025-03-19T00:00:00"/>
    <x v="361"/>
    <d v="2024-06-08T00:00:00"/>
    <x v="3"/>
    <s v="Sandwich"/>
    <x v="1"/>
    <n v="3"/>
    <n v="938.59"/>
    <x v="2"/>
    <n v="21"/>
    <d v="2024-12-27T00:00:00"/>
    <n v="220"/>
    <s v="Inactive"/>
    <m/>
    <d v="2025-03-10T00:00:00"/>
    <s v="Cancelled"/>
    <n v="2815.77"/>
  </r>
  <r>
    <x v="362"/>
    <s v="Female"/>
    <s v="Teenager"/>
    <x v="0"/>
    <d v="2024-06-02T00:00:00"/>
    <x v="362"/>
    <d v="2024-06-08T00:00:00"/>
    <x v="2"/>
    <s v="Burger"/>
    <x v="3"/>
    <n v="3"/>
    <n v="407.81"/>
    <x v="0"/>
    <n v="46"/>
    <d v="2025-01-08T00:00:00"/>
    <n v="343"/>
    <s v="Active"/>
    <m/>
    <d v="2024-10-21T00:00:00"/>
    <s v="Cancelled"/>
    <n v="1223.43"/>
  </r>
  <r>
    <x v="363"/>
    <s v="Male"/>
    <s v="Senior"/>
    <x v="1"/>
    <d v="2025-04-20T00:00:00"/>
    <x v="363"/>
    <d v="2024-06-09T00:00:00"/>
    <x v="3"/>
    <s v="Pizza"/>
    <x v="3"/>
    <n v="5"/>
    <n v="1253.8900000000001"/>
    <x v="1"/>
    <n v="43"/>
    <d v="2025-06-18T00:00:00"/>
    <n v="80"/>
    <s v="Active"/>
    <m/>
    <d v="2025-01-19T00:00:00"/>
    <s v="Cancelled"/>
    <n v="6269.4500000000007"/>
  </r>
  <r>
    <x v="364"/>
    <s v="Other"/>
    <s v="Senior"/>
    <x v="4"/>
    <d v="2025-06-11T00:00:00"/>
    <x v="364"/>
    <d v="2024-06-09T00:00:00"/>
    <x v="1"/>
    <s v="Sandwich"/>
    <x v="1"/>
    <n v="1"/>
    <n v="1205.3399999999999"/>
    <x v="2"/>
    <n v="36"/>
    <d v="2025-03-18T00:00:00"/>
    <n v="103"/>
    <s v="Active"/>
    <m/>
    <d v="2025-03-13T00:00:00"/>
    <s v="Cancelled"/>
    <n v="1205.3399999999999"/>
  </r>
  <r>
    <x v="365"/>
    <s v="Male"/>
    <s v="Teenager"/>
    <x v="1"/>
    <d v="2023-12-13T00:00:00"/>
    <x v="365"/>
    <d v="2024-06-09T00:00:00"/>
    <x v="4"/>
    <s v="Pizza"/>
    <x v="3"/>
    <n v="3"/>
    <n v="489.26"/>
    <x v="1"/>
    <n v="4"/>
    <d v="2024-10-02T00:00:00"/>
    <n v="266"/>
    <s v="Active"/>
    <n v="2"/>
    <d v="2024-09-30T00:00:00"/>
    <s v="Delivered"/>
    <n v="1467.78"/>
  </r>
  <r>
    <x v="366"/>
    <s v="Female"/>
    <s v="Teenager"/>
    <x v="1"/>
    <d v="2025-04-04T00:00:00"/>
    <x v="366"/>
    <d v="2024-06-09T00:00:00"/>
    <x v="3"/>
    <s v="Pasta"/>
    <x v="2"/>
    <n v="4"/>
    <n v="568.28"/>
    <x v="0"/>
    <n v="46"/>
    <d v="2025-05-02T00:00:00"/>
    <n v="182"/>
    <s v="Inactive"/>
    <n v="5"/>
    <d v="2025-07-19T00:00:00"/>
    <s v="Delayed"/>
    <n v="2273.12"/>
  </r>
  <r>
    <x v="367"/>
    <s v="Other"/>
    <s v="Senior"/>
    <x v="0"/>
    <d v="2024-06-06T00:00:00"/>
    <x v="367"/>
    <d v="2024-06-09T00:00:00"/>
    <x v="3"/>
    <s v="Pizza"/>
    <x v="0"/>
    <n v="3"/>
    <n v="917.47"/>
    <x v="0"/>
    <n v="17"/>
    <d v="2025-03-15T00:00:00"/>
    <n v="173"/>
    <s v="Inactive"/>
    <m/>
    <d v="2025-05-14T00:00:00"/>
    <s v="Cancelled"/>
    <n v="2752.41"/>
  </r>
  <r>
    <x v="368"/>
    <s v="Male"/>
    <s v="Teenager"/>
    <x v="3"/>
    <d v="2025-04-20T00:00:00"/>
    <x v="368"/>
    <d v="2024-06-09T00:00:00"/>
    <x v="1"/>
    <s v="Pasta"/>
    <x v="4"/>
    <n v="2"/>
    <n v="1425.04"/>
    <x v="0"/>
    <n v="31"/>
    <d v="2025-07-10T00:00:00"/>
    <n v="100"/>
    <s v="Inactive"/>
    <m/>
    <d v="2025-07-07T00:00:00"/>
    <s v="Cancelled"/>
    <n v="2850.08"/>
  </r>
  <r>
    <x v="369"/>
    <s v="Male"/>
    <s v="Senior"/>
    <x v="4"/>
    <d v="2023-12-16T00:00:00"/>
    <x v="369"/>
    <d v="2024-06-09T00:00:00"/>
    <x v="2"/>
    <s v="Burger"/>
    <x v="1"/>
    <n v="3"/>
    <n v="1193.5899999999999"/>
    <x v="0"/>
    <n v="35"/>
    <d v="2025-05-27T00:00:00"/>
    <n v="253"/>
    <s v="Active"/>
    <n v="4"/>
    <d v="2025-04-29T00:00:00"/>
    <s v="Delivered"/>
    <n v="3580.7699999999995"/>
  </r>
  <r>
    <x v="370"/>
    <s v="Other"/>
    <s v="Teenager"/>
    <x v="2"/>
    <d v="2024-10-08T00:00:00"/>
    <x v="370"/>
    <d v="2024-06-09T00:00:00"/>
    <x v="4"/>
    <s v="Fries"/>
    <x v="4"/>
    <n v="5"/>
    <n v="219.85"/>
    <x v="2"/>
    <n v="41"/>
    <d v="2025-05-09T00:00:00"/>
    <n v="360"/>
    <s v="Active"/>
    <n v="3"/>
    <d v="2024-10-17T00:00:00"/>
    <s v="Delayed"/>
    <n v="1099.25"/>
  </r>
  <r>
    <x v="371"/>
    <s v="Male"/>
    <s v="Senior"/>
    <x v="2"/>
    <d v="2024-12-11T00:00:00"/>
    <x v="371"/>
    <d v="2024-06-09T00:00:00"/>
    <x v="2"/>
    <s v="Sandwich"/>
    <x v="4"/>
    <n v="3"/>
    <n v="459.7"/>
    <x v="0"/>
    <n v="10"/>
    <d v="2025-05-25T00:00:00"/>
    <n v="416"/>
    <s v="Inactive"/>
    <m/>
    <d v="2025-01-01T00:00:00"/>
    <s v="Cancelled"/>
    <n v="1379.1"/>
  </r>
  <r>
    <x v="372"/>
    <s v="Male"/>
    <s v="Senior"/>
    <x v="3"/>
    <d v="2025-02-28T00:00:00"/>
    <x v="372"/>
    <d v="2024-06-09T00:00:00"/>
    <x v="3"/>
    <s v="Fries"/>
    <x v="0"/>
    <n v="1"/>
    <n v="1306.3800000000001"/>
    <x v="2"/>
    <n v="25"/>
    <d v="2024-10-11T00:00:00"/>
    <n v="199"/>
    <s v="Inactive"/>
    <n v="1"/>
    <d v="2025-01-07T00:00:00"/>
    <s v="Delayed"/>
    <n v="1306.3800000000001"/>
  </r>
  <r>
    <x v="373"/>
    <s v="Other"/>
    <s v="Adult"/>
    <x v="3"/>
    <d v="2024-02-24T00:00:00"/>
    <x v="373"/>
    <d v="2024-06-10T00:00:00"/>
    <x v="4"/>
    <s v="Fries"/>
    <x v="0"/>
    <n v="5"/>
    <n v="573.13"/>
    <x v="1"/>
    <n v="14"/>
    <d v="2025-01-09T00:00:00"/>
    <n v="93"/>
    <s v="Inactive"/>
    <n v="5"/>
    <d v="2024-12-27T00:00:00"/>
    <s v="Delivered"/>
    <n v="2865.65"/>
  </r>
  <r>
    <x v="374"/>
    <s v="Other"/>
    <s v="Adult"/>
    <x v="0"/>
    <d v="2023-09-14T00:00:00"/>
    <x v="374"/>
    <d v="2024-06-10T00:00:00"/>
    <x v="1"/>
    <s v="Burger"/>
    <x v="0"/>
    <n v="5"/>
    <n v="1329.17"/>
    <x v="1"/>
    <n v="42"/>
    <d v="2024-10-04T00:00:00"/>
    <n v="191"/>
    <s v="Active"/>
    <n v="2"/>
    <d v="2025-06-22T00:00:00"/>
    <s v="Delayed"/>
    <n v="6645.85"/>
  </r>
  <r>
    <x v="375"/>
    <s v="Male"/>
    <s v="Senior"/>
    <x v="4"/>
    <d v="2024-10-12T00:00:00"/>
    <x v="375"/>
    <d v="2024-06-10T00:00:00"/>
    <x v="1"/>
    <s v="Burger"/>
    <x v="3"/>
    <n v="2"/>
    <n v="946.78"/>
    <x v="0"/>
    <n v="1"/>
    <d v="2025-05-21T00:00:00"/>
    <n v="368"/>
    <s v="Active"/>
    <m/>
    <d v="2025-01-10T00:00:00"/>
    <s v="Cancelled"/>
    <n v="1893.56"/>
  </r>
  <r>
    <x v="376"/>
    <s v="Other"/>
    <s v="Teenager"/>
    <x v="3"/>
    <d v="2025-02-10T00:00:00"/>
    <x v="376"/>
    <d v="2024-06-10T00:00:00"/>
    <x v="4"/>
    <s v="Pasta"/>
    <x v="1"/>
    <n v="2"/>
    <n v="1296.74"/>
    <x v="0"/>
    <n v="50"/>
    <d v="2025-02-06T00:00:00"/>
    <n v="274"/>
    <s v="Inactive"/>
    <n v="4"/>
    <d v="2025-06-09T00:00:00"/>
    <s v="Delivered"/>
    <n v="2593.48"/>
  </r>
  <r>
    <x v="377"/>
    <s v="Female"/>
    <s v="Adult"/>
    <x v="1"/>
    <d v="2023-10-12T00:00:00"/>
    <x v="377"/>
    <d v="2024-06-10T00:00:00"/>
    <x v="4"/>
    <s v="Sandwich"/>
    <x v="4"/>
    <n v="3"/>
    <n v="589.41999999999996"/>
    <x v="1"/>
    <n v="23"/>
    <d v="2024-09-10T00:00:00"/>
    <n v="94"/>
    <s v="Active"/>
    <n v="3"/>
    <d v="2025-04-24T00:00:00"/>
    <s v="Delivered"/>
    <n v="1768.2599999999998"/>
  </r>
  <r>
    <x v="378"/>
    <s v="Female"/>
    <s v="Teenager"/>
    <x v="4"/>
    <d v="2024-12-26T00:00:00"/>
    <x v="378"/>
    <d v="2024-06-10T00:00:00"/>
    <x v="1"/>
    <s v="Burger"/>
    <x v="1"/>
    <n v="3"/>
    <n v="823.1"/>
    <x v="1"/>
    <n v="14"/>
    <d v="2024-11-16T00:00:00"/>
    <n v="169"/>
    <s v="Active"/>
    <n v="1"/>
    <d v="2025-06-20T00:00:00"/>
    <s v="Delayed"/>
    <n v="2469.3000000000002"/>
  </r>
  <r>
    <x v="379"/>
    <s v="Male"/>
    <s v="Teenager"/>
    <x v="3"/>
    <d v="2024-02-23T00:00:00"/>
    <x v="379"/>
    <d v="2024-06-10T00:00:00"/>
    <x v="3"/>
    <s v="Fries"/>
    <x v="0"/>
    <n v="2"/>
    <n v="735.58"/>
    <x v="2"/>
    <n v="42"/>
    <d v="2025-07-07T00:00:00"/>
    <n v="208"/>
    <s v="Inactive"/>
    <n v="5"/>
    <d v="2025-02-28T00:00:00"/>
    <s v="Delayed"/>
    <n v="1471.16"/>
  </r>
  <r>
    <x v="380"/>
    <s v="Female"/>
    <s v="Adult"/>
    <x v="3"/>
    <d v="2024-12-18T00:00:00"/>
    <x v="380"/>
    <d v="2024-06-10T00:00:00"/>
    <x v="3"/>
    <s v="Sandwich"/>
    <x v="0"/>
    <n v="1"/>
    <n v="655.45"/>
    <x v="2"/>
    <n v="35"/>
    <d v="2025-04-24T00:00:00"/>
    <n v="336"/>
    <s v="Inactive"/>
    <n v="1"/>
    <d v="2025-06-21T00:00:00"/>
    <s v="Delivered"/>
    <n v="655.45"/>
  </r>
  <r>
    <x v="381"/>
    <s v="Male"/>
    <s v="Teenager"/>
    <x v="4"/>
    <d v="2024-07-17T00:00:00"/>
    <x v="381"/>
    <d v="2024-06-10T00:00:00"/>
    <x v="3"/>
    <s v="Pasta"/>
    <x v="2"/>
    <n v="4"/>
    <n v="484.62"/>
    <x v="2"/>
    <n v="24"/>
    <d v="2024-08-26T00:00:00"/>
    <n v="27"/>
    <s v="Inactive"/>
    <n v="2"/>
    <d v="2025-03-30T00:00:00"/>
    <s v="Delayed"/>
    <n v="1938.48"/>
  </r>
  <r>
    <x v="382"/>
    <s v="Male"/>
    <s v="Senior"/>
    <x v="2"/>
    <d v="2025-06-30T00:00:00"/>
    <x v="382"/>
    <d v="2024-06-11T00:00:00"/>
    <x v="3"/>
    <s v="Fries"/>
    <x v="2"/>
    <n v="3"/>
    <n v="198.38"/>
    <x v="1"/>
    <n v="36"/>
    <d v="2024-11-11T00:00:00"/>
    <n v="290"/>
    <s v="Inactive"/>
    <n v="2"/>
    <d v="2025-01-10T00:00:00"/>
    <s v="Delayed"/>
    <n v="595.14"/>
  </r>
  <r>
    <x v="383"/>
    <s v="Female"/>
    <s v="Teenager"/>
    <x v="0"/>
    <d v="2024-05-01T00:00:00"/>
    <x v="383"/>
    <d v="2024-06-11T00:00:00"/>
    <x v="4"/>
    <s v="Fries"/>
    <x v="1"/>
    <n v="4"/>
    <n v="188.64"/>
    <x v="1"/>
    <n v="36"/>
    <d v="2024-08-28T00:00:00"/>
    <n v="108"/>
    <s v="Active"/>
    <n v="3"/>
    <d v="2024-08-23T00:00:00"/>
    <s v="Delayed"/>
    <n v="754.56"/>
  </r>
  <r>
    <x v="384"/>
    <s v="Male"/>
    <s v="Adult"/>
    <x v="2"/>
    <d v="2024-02-05T00:00:00"/>
    <x v="384"/>
    <d v="2024-06-11T00:00:00"/>
    <x v="1"/>
    <s v="Burger"/>
    <x v="1"/>
    <n v="1"/>
    <n v="746.1"/>
    <x v="1"/>
    <n v="11"/>
    <d v="2025-05-14T00:00:00"/>
    <n v="265"/>
    <s v="Inactive"/>
    <n v="4"/>
    <d v="2024-09-30T00:00:00"/>
    <s v="Delivered"/>
    <n v="746.1"/>
  </r>
  <r>
    <x v="385"/>
    <s v="Female"/>
    <s v="Senior"/>
    <x v="0"/>
    <d v="2024-07-19T00:00:00"/>
    <x v="385"/>
    <d v="2024-06-11T00:00:00"/>
    <x v="3"/>
    <s v="Sandwich"/>
    <x v="1"/>
    <n v="4"/>
    <n v="949.41"/>
    <x v="1"/>
    <n v="27"/>
    <d v="2025-02-17T00:00:00"/>
    <n v="244"/>
    <s v="Inactive"/>
    <n v="5"/>
    <d v="2024-09-07T00:00:00"/>
    <s v="Delayed"/>
    <n v="3797.64"/>
  </r>
  <r>
    <x v="386"/>
    <s v="Female"/>
    <s v="Adult"/>
    <x v="2"/>
    <d v="2024-08-23T00:00:00"/>
    <x v="386"/>
    <d v="2024-06-11T00:00:00"/>
    <x v="1"/>
    <s v="Burger"/>
    <x v="3"/>
    <n v="3"/>
    <n v="211.28"/>
    <x v="1"/>
    <n v="16"/>
    <d v="2025-02-03T00:00:00"/>
    <n v="45"/>
    <s v="Active"/>
    <n v="1"/>
    <d v="2024-11-14T00:00:00"/>
    <s v="Delayed"/>
    <n v="633.84"/>
  </r>
  <r>
    <x v="387"/>
    <s v="Male"/>
    <s v="Senior"/>
    <x v="4"/>
    <d v="2025-07-29T00:00:00"/>
    <x v="387"/>
    <d v="2024-06-11T00:00:00"/>
    <x v="2"/>
    <s v="Pasta"/>
    <x v="4"/>
    <n v="4"/>
    <n v="1343.41"/>
    <x v="0"/>
    <n v="46"/>
    <d v="2024-12-31T00:00:00"/>
    <n v="233"/>
    <s v="Active"/>
    <n v="5"/>
    <d v="2025-06-27T00:00:00"/>
    <s v="Delayed"/>
    <n v="5373.64"/>
  </r>
  <r>
    <x v="388"/>
    <s v="Female"/>
    <s v="Adult"/>
    <x v="0"/>
    <d v="2025-02-09T00:00:00"/>
    <x v="388"/>
    <d v="2024-06-11T00:00:00"/>
    <x v="1"/>
    <s v="Fries"/>
    <x v="1"/>
    <n v="3"/>
    <n v="925.91"/>
    <x v="1"/>
    <n v="36"/>
    <d v="2025-03-12T00:00:00"/>
    <n v="71"/>
    <s v="Active"/>
    <n v="2"/>
    <d v="2025-07-28T00:00:00"/>
    <s v="Delivered"/>
    <n v="2777.73"/>
  </r>
  <r>
    <x v="389"/>
    <s v="Female"/>
    <s v="Adult"/>
    <x v="1"/>
    <d v="2024-11-06T00:00:00"/>
    <x v="389"/>
    <d v="2024-06-11T00:00:00"/>
    <x v="3"/>
    <s v="Pasta"/>
    <x v="0"/>
    <n v="4"/>
    <n v="132.31"/>
    <x v="1"/>
    <n v="35"/>
    <d v="2025-03-26T00:00:00"/>
    <n v="175"/>
    <s v="Active"/>
    <m/>
    <d v="2025-01-28T00:00:00"/>
    <s v="Cancelled"/>
    <n v="529.24"/>
  </r>
  <r>
    <x v="390"/>
    <s v="Other"/>
    <s v="Senior"/>
    <x v="0"/>
    <d v="2025-01-22T00:00:00"/>
    <x v="390"/>
    <d v="2024-06-12T00:00:00"/>
    <x v="1"/>
    <s v="Burger"/>
    <x v="4"/>
    <n v="3"/>
    <n v="750.46"/>
    <x v="0"/>
    <n v="42"/>
    <d v="2025-04-02T00:00:00"/>
    <n v="153"/>
    <s v="Inactive"/>
    <m/>
    <d v="2024-10-29T00:00:00"/>
    <s v="Cancelled"/>
    <n v="2251.38"/>
  </r>
  <r>
    <x v="391"/>
    <s v="Female"/>
    <s v="Senior"/>
    <x v="1"/>
    <d v="2023-10-18T00:00:00"/>
    <x v="391"/>
    <d v="2024-06-12T00:00:00"/>
    <x v="2"/>
    <s v="Fries"/>
    <x v="2"/>
    <n v="2"/>
    <n v="1457.63"/>
    <x v="2"/>
    <n v="1"/>
    <d v="2025-03-11T00:00:00"/>
    <n v="411"/>
    <s v="Active"/>
    <n v="2"/>
    <d v="2025-05-07T00:00:00"/>
    <s v="Delivered"/>
    <n v="2915.26"/>
  </r>
  <r>
    <x v="392"/>
    <s v="Other"/>
    <s v="Teenager"/>
    <x v="3"/>
    <d v="2024-07-19T00:00:00"/>
    <x v="392"/>
    <d v="2024-06-12T00:00:00"/>
    <x v="4"/>
    <s v="Pizza"/>
    <x v="4"/>
    <n v="5"/>
    <n v="927.2"/>
    <x v="2"/>
    <n v="12"/>
    <d v="2025-08-20T00:00:00"/>
    <n v="346"/>
    <s v="Inactive"/>
    <n v="2"/>
    <d v="2024-11-07T00:00:00"/>
    <s v="Delayed"/>
    <n v="4636"/>
  </r>
  <r>
    <x v="393"/>
    <s v="Other"/>
    <s v="Teenager"/>
    <x v="3"/>
    <d v="2024-07-13T00:00:00"/>
    <x v="393"/>
    <d v="2024-06-12T00:00:00"/>
    <x v="2"/>
    <s v="Sandwich"/>
    <x v="0"/>
    <n v="1"/>
    <n v="1498.75"/>
    <x v="2"/>
    <n v="42"/>
    <d v="2025-01-21T00:00:00"/>
    <n v="107"/>
    <s v="Active"/>
    <m/>
    <d v="2025-07-25T00:00:00"/>
    <s v="Cancelled"/>
    <n v="1498.75"/>
  </r>
  <r>
    <x v="394"/>
    <s v="Other"/>
    <s v="Adult"/>
    <x v="1"/>
    <d v="2025-06-05T00:00:00"/>
    <x v="394"/>
    <d v="2024-06-12T00:00:00"/>
    <x v="3"/>
    <s v="Fries"/>
    <x v="4"/>
    <n v="4"/>
    <n v="1177.3699999999999"/>
    <x v="2"/>
    <n v="49"/>
    <d v="2024-10-19T00:00:00"/>
    <n v="95"/>
    <s v="Inactive"/>
    <m/>
    <d v="2025-07-16T00:00:00"/>
    <s v="Cancelled"/>
    <n v="4709.4799999999996"/>
  </r>
  <r>
    <x v="395"/>
    <s v="Other"/>
    <s v="Teenager"/>
    <x v="1"/>
    <d v="2024-08-09T00:00:00"/>
    <x v="395"/>
    <d v="2024-06-13T00:00:00"/>
    <x v="2"/>
    <s v="Burger"/>
    <x v="1"/>
    <n v="1"/>
    <n v="285.22000000000003"/>
    <x v="2"/>
    <n v="46"/>
    <d v="2025-04-30T00:00:00"/>
    <n v="438"/>
    <s v="Active"/>
    <m/>
    <d v="2024-11-28T00:00:00"/>
    <s v="Cancelled"/>
    <n v="285.22000000000003"/>
  </r>
  <r>
    <x v="396"/>
    <s v="Male"/>
    <s v="Senior"/>
    <x v="1"/>
    <d v="2024-09-02T00:00:00"/>
    <x v="396"/>
    <d v="2024-06-13T00:00:00"/>
    <x v="0"/>
    <s v="Burger"/>
    <x v="2"/>
    <n v="1"/>
    <n v="473.07"/>
    <x v="2"/>
    <n v="22"/>
    <d v="2024-10-22T00:00:00"/>
    <n v="202"/>
    <s v="Active"/>
    <n v="3"/>
    <d v="2024-10-25T00:00:00"/>
    <s v="Delivered"/>
    <n v="473.07"/>
  </r>
  <r>
    <x v="397"/>
    <s v="Other"/>
    <s v="Senior"/>
    <x v="2"/>
    <d v="2024-05-08T00:00:00"/>
    <x v="397"/>
    <d v="2024-06-13T00:00:00"/>
    <x v="3"/>
    <s v="Burger"/>
    <x v="1"/>
    <n v="2"/>
    <n v="1219.31"/>
    <x v="0"/>
    <n v="32"/>
    <d v="2024-08-28T00:00:00"/>
    <n v="130"/>
    <s v="Inactive"/>
    <m/>
    <d v="2024-10-03T00:00:00"/>
    <s v="Cancelled"/>
    <n v="2438.62"/>
  </r>
  <r>
    <x v="398"/>
    <s v="Other"/>
    <s v="Teenager"/>
    <x v="3"/>
    <d v="2024-06-29T00:00:00"/>
    <x v="398"/>
    <d v="2024-06-13T00:00:00"/>
    <x v="3"/>
    <s v="Pasta"/>
    <x v="2"/>
    <n v="3"/>
    <n v="1084.44"/>
    <x v="2"/>
    <n v="43"/>
    <d v="2025-06-30T00:00:00"/>
    <n v="402"/>
    <s v="Inactive"/>
    <n v="2"/>
    <d v="2025-04-26T00:00:00"/>
    <s v="Delivered"/>
    <n v="3253.32"/>
  </r>
  <r>
    <x v="399"/>
    <s v="Other"/>
    <s v="Senior"/>
    <x v="0"/>
    <d v="2024-06-17T00:00:00"/>
    <x v="399"/>
    <d v="2024-06-13T00:00:00"/>
    <x v="0"/>
    <s v="Pizza"/>
    <x v="2"/>
    <n v="4"/>
    <n v="1385.5"/>
    <x v="0"/>
    <n v="1"/>
    <d v="2024-12-14T00:00:00"/>
    <n v="305"/>
    <s v="Active"/>
    <n v="5"/>
    <d v="2025-02-12T00:00:00"/>
    <s v="Delayed"/>
    <n v="5542"/>
  </r>
  <r>
    <x v="400"/>
    <s v="Female"/>
    <s v="Senior"/>
    <x v="0"/>
    <d v="2024-06-26T00:00:00"/>
    <x v="400"/>
    <d v="2024-06-13T00:00:00"/>
    <x v="2"/>
    <s v="Fries"/>
    <x v="3"/>
    <n v="4"/>
    <n v="409.96"/>
    <x v="0"/>
    <n v="9"/>
    <d v="2024-12-27T00:00:00"/>
    <n v="187"/>
    <s v="Inactive"/>
    <n v="2"/>
    <d v="2024-09-07T00:00:00"/>
    <s v="Delayed"/>
    <n v="1639.84"/>
  </r>
  <r>
    <x v="401"/>
    <s v="Other"/>
    <s v="Senior"/>
    <x v="2"/>
    <d v="2023-12-25T00:00:00"/>
    <x v="401"/>
    <d v="2024-06-13T00:00:00"/>
    <x v="1"/>
    <s v="Burger"/>
    <x v="1"/>
    <n v="1"/>
    <n v="1430.87"/>
    <x v="2"/>
    <n v="20"/>
    <d v="2025-06-21T00:00:00"/>
    <n v="407"/>
    <s v="Active"/>
    <m/>
    <d v="2025-03-12T00:00:00"/>
    <s v="Cancelled"/>
    <n v="1430.87"/>
  </r>
  <r>
    <x v="402"/>
    <s v="Female"/>
    <s v="Teenager"/>
    <x v="1"/>
    <d v="2024-07-11T00:00:00"/>
    <x v="402"/>
    <d v="2024-06-13T00:00:00"/>
    <x v="1"/>
    <s v="Pasta"/>
    <x v="4"/>
    <n v="5"/>
    <n v="875.81"/>
    <x v="1"/>
    <n v="18"/>
    <d v="2025-07-01T00:00:00"/>
    <n v="315"/>
    <s v="Active"/>
    <n v="5"/>
    <d v="2025-04-21T00:00:00"/>
    <s v="Delayed"/>
    <n v="4379.0499999999993"/>
  </r>
  <r>
    <x v="403"/>
    <s v="Female"/>
    <s v="Adult"/>
    <x v="3"/>
    <d v="2024-09-26T00:00:00"/>
    <x v="403"/>
    <d v="2024-06-13T00:00:00"/>
    <x v="3"/>
    <s v="Sandwich"/>
    <x v="0"/>
    <n v="1"/>
    <n v="1277.3900000000001"/>
    <x v="0"/>
    <n v="31"/>
    <d v="2025-05-03T00:00:00"/>
    <n v="53"/>
    <s v="Active"/>
    <n v="3"/>
    <d v="2025-05-26T00:00:00"/>
    <s v="Delivered"/>
    <n v="1277.3900000000001"/>
  </r>
  <r>
    <x v="404"/>
    <s v="Male"/>
    <s v="Adult"/>
    <x v="0"/>
    <d v="2025-01-29T00:00:00"/>
    <x v="404"/>
    <d v="2024-06-13T00:00:00"/>
    <x v="4"/>
    <s v="Burger"/>
    <x v="1"/>
    <n v="2"/>
    <n v="1246.3499999999999"/>
    <x v="1"/>
    <n v="29"/>
    <d v="2025-07-21T00:00:00"/>
    <n v="206"/>
    <s v="Inactive"/>
    <n v="5"/>
    <d v="2024-11-12T00:00:00"/>
    <s v="Delivered"/>
    <n v="2492.6999999999998"/>
  </r>
  <r>
    <x v="405"/>
    <s v="Male"/>
    <s v="Teenager"/>
    <x v="3"/>
    <d v="2023-12-30T00:00:00"/>
    <x v="405"/>
    <d v="2024-06-13T00:00:00"/>
    <x v="0"/>
    <s v="Sandwich"/>
    <x v="4"/>
    <n v="4"/>
    <n v="983.07"/>
    <x v="2"/>
    <n v="18"/>
    <d v="2024-11-09T00:00:00"/>
    <n v="89"/>
    <s v="Inactive"/>
    <n v="2"/>
    <d v="2025-04-22T00:00:00"/>
    <s v="Delayed"/>
    <n v="3932.28"/>
  </r>
  <r>
    <x v="406"/>
    <s v="Male"/>
    <s v="Teenager"/>
    <x v="1"/>
    <d v="2023-08-28T00:00:00"/>
    <x v="406"/>
    <d v="2024-06-13T00:00:00"/>
    <x v="4"/>
    <s v="Sandwich"/>
    <x v="0"/>
    <n v="4"/>
    <n v="1245.47"/>
    <x v="2"/>
    <n v="8"/>
    <d v="2024-09-04T00:00:00"/>
    <n v="398"/>
    <s v="Inactive"/>
    <m/>
    <d v="2024-12-11T00:00:00"/>
    <s v="Cancelled"/>
    <n v="4981.88"/>
  </r>
  <r>
    <x v="407"/>
    <s v="Female"/>
    <s v="Adult"/>
    <x v="4"/>
    <d v="2024-03-20T00:00:00"/>
    <x v="407"/>
    <d v="2024-06-14T00:00:00"/>
    <x v="4"/>
    <s v="Pizza"/>
    <x v="3"/>
    <n v="4"/>
    <n v="309.67"/>
    <x v="2"/>
    <n v="4"/>
    <d v="2025-04-06T00:00:00"/>
    <n v="379"/>
    <s v="Active"/>
    <n v="1"/>
    <d v="2025-06-03T00:00:00"/>
    <s v="Delivered"/>
    <n v="1238.68"/>
  </r>
  <r>
    <x v="408"/>
    <s v="Female"/>
    <s v="Adult"/>
    <x v="0"/>
    <d v="2024-08-13T00:00:00"/>
    <x v="408"/>
    <d v="2024-06-14T00:00:00"/>
    <x v="3"/>
    <s v="Pizza"/>
    <x v="2"/>
    <n v="5"/>
    <n v="513.15"/>
    <x v="2"/>
    <n v="32"/>
    <d v="2024-09-16T00:00:00"/>
    <n v="20"/>
    <s v="Active"/>
    <n v="3"/>
    <d v="2025-07-20T00:00:00"/>
    <s v="Delivered"/>
    <n v="2565.75"/>
  </r>
  <r>
    <x v="409"/>
    <s v="Other"/>
    <s v="Adult"/>
    <x v="1"/>
    <d v="2025-04-20T00:00:00"/>
    <x v="409"/>
    <d v="2024-06-14T00:00:00"/>
    <x v="2"/>
    <s v="Pizza"/>
    <x v="1"/>
    <n v="5"/>
    <n v="233.05"/>
    <x v="1"/>
    <n v="45"/>
    <d v="2025-08-05T00:00:00"/>
    <n v="442"/>
    <s v="Active"/>
    <n v="3"/>
    <d v="2024-11-09T00:00:00"/>
    <s v="Delayed"/>
    <n v="1165.25"/>
  </r>
  <r>
    <x v="410"/>
    <s v="Female"/>
    <s v="Adult"/>
    <x v="0"/>
    <d v="2024-10-20T00:00:00"/>
    <x v="410"/>
    <d v="2024-06-14T00:00:00"/>
    <x v="1"/>
    <s v="Pizza"/>
    <x v="2"/>
    <n v="5"/>
    <n v="1139.94"/>
    <x v="0"/>
    <n v="30"/>
    <d v="2025-01-16T00:00:00"/>
    <n v="191"/>
    <s v="Active"/>
    <m/>
    <d v="2024-10-08T00:00:00"/>
    <s v="Cancelled"/>
    <n v="5699.7000000000007"/>
  </r>
  <r>
    <x v="411"/>
    <s v="Female"/>
    <s v="Senior"/>
    <x v="3"/>
    <d v="2023-11-05T00:00:00"/>
    <x v="411"/>
    <d v="2024-06-14T00:00:00"/>
    <x v="3"/>
    <s v="Pizza"/>
    <x v="1"/>
    <n v="4"/>
    <n v="535.79"/>
    <x v="0"/>
    <n v="49"/>
    <d v="2025-01-26T00:00:00"/>
    <n v="169"/>
    <s v="Inactive"/>
    <n v="4"/>
    <d v="2024-09-06T00:00:00"/>
    <s v="Delivered"/>
    <n v="2143.16"/>
  </r>
  <r>
    <x v="412"/>
    <s v="Other"/>
    <s v="Senior"/>
    <x v="4"/>
    <d v="2025-06-09T00:00:00"/>
    <x v="412"/>
    <d v="2024-06-15T00:00:00"/>
    <x v="0"/>
    <s v="Burger"/>
    <x v="4"/>
    <n v="1"/>
    <n v="1298.1500000000001"/>
    <x v="2"/>
    <n v="19"/>
    <d v="2025-06-11T00:00:00"/>
    <n v="196"/>
    <s v="Active"/>
    <n v="5"/>
    <d v="2024-10-05T00:00:00"/>
    <s v="Delivered"/>
    <n v="1298.1500000000001"/>
  </r>
  <r>
    <x v="413"/>
    <s v="Female"/>
    <s v="Teenager"/>
    <x v="3"/>
    <d v="2024-12-15T00:00:00"/>
    <x v="413"/>
    <d v="2024-06-15T00:00:00"/>
    <x v="3"/>
    <s v="Pasta"/>
    <x v="1"/>
    <n v="5"/>
    <n v="443.05"/>
    <x v="2"/>
    <n v="22"/>
    <d v="2024-08-31T00:00:00"/>
    <n v="294"/>
    <s v="Active"/>
    <m/>
    <d v="2024-11-08T00:00:00"/>
    <s v="Cancelled"/>
    <n v="2215.25"/>
  </r>
  <r>
    <x v="414"/>
    <s v="Female"/>
    <s v="Adult"/>
    <x v="3"/>
    <d v="2025-04-17T00:00:00"/>
    <x v="414"/>
    <d v="2024-06-15T00:00:00"/>
    <x v="4"/>
    <s v="Fries"/>
    <x v="1"/>
    <n v="1"/>
    <n v="646.32000000000005"/>
    <x v="1"/>
    <n v="18"/>
    <d v="2024-12-30T00:00:00"/>
    <n v="322"/>
    <s v="Active"/>
    <n v="2"/>
    <d v="2025-03-20T00:00:00"/>
    <s v="Delivered"/>
    <n v="646.32000000000005"/>
  </r>
  <r>
    <x v="415"/>
    <s v="Male"/>
    <s v="Senior"/>
    <x v="3"/>
    <d v="2025-03-08T00:00:00"/>
    <x v="415"/>
    <d v="2024-06-15T00:00:00"/>
    <x v="4"/>
    <s v="Burger"/>
    <x v="1"/>
    <n v="5"/>
    <n v="502.34"/>
    <x v="1"/>
    <n v="15"/>
    <d v="2024-11-18T00:00:00"/>
    <n v="269"/>
    <s v="Inactive"/>
    <m/>
    <d v="2024-09-10T00:00:00"/>
    <s v="Cancelled"/>
    <n v="2511.6999999999998"/>
  </r>
  <r>
    <x v="416"/>
    <s v="Female"/>
    <s v="Senior"/>
    <x v="0"/>
    <d v="2025-04-23T00:00:00"/>
    <x v="416"/>
    <d v="2024-06-15T00:00:00"/>
    <x v="1"/>
    <s v="Pasta"/>
    <x v="3"/>
    <n v="2"/>
    <n v="1272.92"/>
    <x v="0"/>
    <n v="32"/>
    <d v="2025-07-10T00:00:00"/>
    <n v="314"/>
    <s v="Inactive"/>
    <n v="5"/>
    <d v="2025-02-23T00:00:00"/>
    <s v="Delivered"/>
    <n v="2545.84"/>
  </r>
  <r>
    <x v="417"/>
    <s v="Female"/>
    <s v="Teenager"/>
    <x v="4"/>
    <d v="2025-02-24T00:00:00"/>
    <x v="417"/>
    <d v="2024-06-15T00:00:00"/>
    <x v="1"/>
    <s v="Sandwich"/>
    <x v="1"/>
    <n v="3"/>
    <n v="388.57"/>
    <x v="2"/>
    <n v="19"/>
    <d v="2024-08-31T00:00:00"/>
    <n v="67"/>
    <s v="Active"/>
    <m/>
    <d v="2025-02-08T00:00:00"/>
    <s v="Cancelled"/>
    <n v="1165.71"/>
  </r>
  <r>
    <x v="418"/>
    <s v="Other"/>
    <s v="Teenager"/>
    <x v="4"/>
    <d v="2025-05-25T00:00:00"/>
    <x v="418"/>
    <d v="2024-06-15T00:00:00"/>
    <x v="1"/>
    <s v="Pasta"/>
    <x v="0"/>
    <n v="2"/>
    <n v="744.2"/>
    <x v="0"/>
    <n v="17"/>
    <d v="2024-12-28T00:00:00"/>
    <n v="411"/>
    <s v="Inactive"/>
    <n v="2"/>
    <d v="2025-06-29T00:00:00"/>
    <s v="Delayed"/>
    <n v="1488.4"/>
  </r>
  <r>
    <x v="419"/>
    <s v="Other"/>
    <s v="Teenager"/>
    <x v="0"/>
    <d v="2024-07-20T00:00:00"/>
    <x v="419"/>
    <d v="2024-06-15T00:00:00"/>
    <x v="2"/>
    <s v="Pizza"/>
    <x v="1"/>
    <n v="1"/>
    <n v="1333.95"/>
    <x v="2"/>
    <n v="7"/>
    <d v="2025-08-15T00:00:00"/>
    <n v="155"/>
    <s v="Inactive"/>
    <m/>
    <d v="2024-09-18T00:00:00"/>
    <s v="Cancelled"/>
    <n v="1333.95"/>
  </r>
  <r>
    <x v="420"/>
    <s v="Other"/>
    <s v="Adult"/>
    <x v="4"/>
    <d v="2024-05-17T00:00:00"/>
    <x v="420"/>
    <d v="2024-06-15T00:00:00"/>
    <x v="2"/>
    <s v="Fries"/>
    <x v="3"/>
    <n v="4"/>
    <n v="1002.89"/>
    <x v="0"/>
    <n v="6"/>
    <d v="2024-09-20T00:00:00"/>
    <n v="79"/>
    <s v="Inactive"/>
    <n v="5"/>
    <d v="2025-02-22T00:00:00"/>
    <s v="Delayed"/>
    <n v="4011.56"/>
  </r>
  <r>
    <x v="421"/>
    <s v="Female"/>
    <s v="Teenager"/>
    <x v="0"/>
    <d v="2023-09-08T00:00:00"/>
    <x v="421"/>
    <d v="2024-06-15T00:00:00"/>
    <x v="3"/>
    <s v="Burger"/>
    <x v="4"/>
    <n v="4"/>
    <n v="534.9"/>
    <x v="0"/>
    <n v="30"/>
    <d v="2024-10-29T00:00:00"/>
    <n v="416"/>
    <s v="Inactive"/>
    <n v="3"/>
    <d v="2024-10-10T00:00:00"/>
    <s v="Delayed"/>
    <n v="2139.6"/>
  </r>
  <r>
    <x v="422"/>
    <s v="Female"/>
    <s v="Senior"/>
    <x v="3"/>
    <d v="2024-04-10T00:00:00"/>
    <x v="422"/>
    <d v="2024-06-16T00:00:00"/>
    <x v="4"/>
    <s v="Pizza"/>
    <x v="4"/>
    <n v="4"/>
    <n v="463.13"/>
    <x v="2"/>
    <n v="46"/>
    <d v="2025-05-12T00:00:00"/>
    <n v="55"/>
    <s v="Inactive"/>
    <n v="1"/>
    <d v="2025-04-28T00:00:00"/>
    <s v="Delayed"/>
    <n v="1852.52"/>
  </r>
  <r>
    <x v="423"/>
    <s v="Female"/>
    <s v="Senior"/>
    <x v="2"/>
    <d v="2024-03-31T00:00:00"/>
    <x v="423"/>
    <d v="2024-06-16T00:00:00"/>
    <x v="1"/>
    <s v="Pasta"/>
    <x v="0"/>
    <n v="2"/>
    <n v="373.18"/>
    <x v="0"/>
    <n v="42"/>
    <d v="2024-09-13T00:00:00"/>
    <n v="23"/>
    <s v="Active"/>
    <n v="5"/>
    <d v="2025-01-26T00:00:00"/>
    <s v="Delivered"/>
    <n v="746.36"/>
  </r>
  <r>
    <x v="424"/>
    <s v="Female"/>
    <s v="Senior"/>
    <x v="2"/>
    <d v="2024-05-29T00:00:00"/>
    <x v="424"/>
    <d v="2024-06-16T00:00:00"/>
    <x v="2"/>
    <s v="Sandwich"/>
    <x v="4"/>
    <n v="5"/>
    <n v="1285.55"/>
    <x v="1"/>
    <n v="49"/>
    <d v="2025-02-16T00:00:00"/>
    <n v="423"/>
    <s v="Active"/>
    <n v="2"/>
    <d v="2024-10-27T00:00:00"/>
    <s v="Delivered"/>
    <n v="6427.75"/>
  </r>
  <r>
    <x v="425"/>
    <s v="Other"/>
    <s v="Adult"/>
    <x v="4"/>
    <d v="2025-07-20T00:00:00"/>
    <x v="425"/>
    <d v="2024-06-16T00:00:00"/>
    <x v="0"/>
    <s v="Pizza"/>
    <x v="2"/>
    <n v="3"/>
    <n v="1097.71"/>
    <x v="1"/>
    <n v="35"/>
    <d v="2025-01-23T00:00:00"/>
    <n v="7"/>
    <s v="Active"/>
    <n v="3"/>
    <d v="2025-05-06T00:00:00"/>
    <s v="Delayed"/>
    <n v="3293.13"/>
  </r>
  <r>
    <x v="426"/>
    <s v="Female"/>
    <s v="Teenager"/>
    <x v="0"/>
    <d v="2025-08-05T00:00:00"/>
    <x v="426"/>
    <d v="2024-06-16T00:00:00"/>
    <x v="4"/>
    <s v="Pasta"/>
    <x v="1"/>
    <n v="4"/>
    <n v="967.23"/>
    <x v="0"/>
    <n v="22"/>
    <d v="2025-08-11T00:00:00"/>
    <n v="366"/>
    <s v="Active"/>
    <n v="5"/>
    <d v="2025-02-20T00:00:00"/>
    <s v="Delivered"/>
    <n v="3868.92"/>
  </r>
  <r>
    <x v="427"/>
    <s v="Male"/>
    <s v="Teenager"/>
    <x v="2"/>
    <d v="2024-05-19T00:00:00"/>
    <x v="427"/>
    <d v="2024-06-16T00:00:00"/>
    <x v="0"/>
    <s v="Pasta"/>
    <x v="3"/>
    <n v="2"/>
    <n v="341.84"/>
    <x v="0"/>
    <n v="35"/>
    <d v="2024-09-17T00:00:00"/>
    <n v="192"/>
    <s v="Active"/>
    <n v="4"/>
    <d v="2024-12-17T00:00:00"/>
    <s v="Delivered"/>
    <n v="683.68"/>
  </r>
  <r>
    <x v="428"/>
    <s v="Male"/>
    <s v="Adult"/>
    <x v="1"/>
    <d v="2024-07-10T00:00:00"/>
    <x v="428"/>
    <d v="2024-06-16T00:00:00"/>
    <x v="2"/>
    <s v="Pasta"/>
    <x v="4"/>
    <n v="4"/>
    <n v="492.56"/>
    <x v="1"/>
    <n v="26"/>
    <d v="2025-04-20T00:00:00"/>
    <n v="179"/>
    <s v="Active"/>
    <n v="2"/>
    <d v="2024-10-20T00:00:00"/>
    <s v="Delayed"/>
    <n v="1970.24"/>
  </r>
  <r>
    <x v="429"/>
    <s v="Male"/>
    <s v="Senior"/>
    <x v="4"/>
    <d v="2024-11-30T00:00:00"/>
    <x v="429"/>
    <d v="2024-06-16T00:00:00"/>
    <x v="4"/>
    <s v="Sandwich"/>
    <x v="4"/>
    <n v="1"/>
    <n v="1020.1"/>
    <x v="0"/>
    <n v="34"/>
    <d v="2025-07-24T00:00:00"/>
    <n v="45"/>
    <s v="Inactive"/>
    <n v="3"/>
    <d v="2025-03-19T00:00:00"/>
    <s v="Delivered"/>
    <n v="1020.1"/>
  </r>
  <r>
    <x v="430"/>
    <s v="Female"/>
    <s v="Senior"/>
    <x v="0"/>
    <d v="2024-05-15T00:00:00"/>
    <x v="430"/>
    <d v="2024-06-16T00:00:00"/>
    <x v="3"/>
    <s v="Pasta"/>
    <x v="1"/>
    <n v="2"/>
    <n v="1048.1600000000001"/>
    <x v="2"/>
    <n v="21"/>
    <d v="2024-10-01T00:00:00"/>
    <n v="118"/>
    <s v="Inactive"/>
    <n v="1"/>
    <d v="2025-06-08T00:00:00"/>
    <s v="Delivered"/>
    <n v="2096.3200000000002"/>
  </r>
  <r>
    <x v="431"/>
    <s v="Other"/>
    <s v="Adult"/>
    <x v="0"/>
    <d v="2024-02-12T00:00:00"/>
    <x v="431"/>
    <d v="2024-06-16T00:00:00"/>
    <x v="0"/>
    <s v="Fries"/>
    <x v="3"/>
    <n v="1"/>
    <n v="1118.93"/>
    <x v="1"/>
    <n v="10"/>
    <d v="2025-05-17T00:00:00"/>
    <n v="360"/>
    <s v="Inactive"/>
    <n v="1"/>
    <d v="2025-06-14T00:00:00"/>
    <s v="Delivered"/>
    <n v="1118.93"/>
  </r>
  <r>
    <x v="432"/>
    <s v="Other"/>
    <s v="Teenager"/>
    <x v="4"/>
    <d v="2024-12-26T00:00:00"/>
    <x v="432"/>
    <d v="2024-06-16T00:00:00"/>
    <x v="3"/>
    <s v="Fries"/>
    <x v="3"/>
    <n v="1"/>
    <n v="1060.48"/>
    <x v="2"/>
    <n v="17"/>
    <d v="2025-06-23T00:00:00"/>
    <n v="423"/>
    <s v="Inactive"/>
    <n v="3"/>
    <d v="2024-10-21T00:00:00"/>
    <s v="Delayed"/>
    <n v="1060.48"/>
  </r>
  <r>
    <x v="433"/>
    <s v="Female"/>
    <s v="Teenager"/>
    <x v="0"/>
    <d v="2023-11-25T00:00:00"/>
    <x v="433"/>
    <d v="2024-06-16T00:00:00"/>
    <x v="0"/>
    <s v="Burger"/>
    <x v="3"/>
    <n v="1"/>
    <n v="1325.11"/>
    <x v="1"/>
    <n v="31"/>
    <d v="2025-04-03T00:00:00"/>
    <n v="102"/>
    <s v="Inactive"/>
    <m/>
    <d v="2024-08-28T00:00:00"/>
    <s v="Cancelled"/>
    <n v="1325.11"/>
  </r>
  <r>
    <x v="434"/>
    <s v="Other"/>
    <s v="Adult"/>
    <x v="3"/>
    <d v="2025-01-12T00:00:00"/>
    <x v="434"/>
    <d v="2024-06-16T00:00:00"/>
    <x v="4"/>
    <s v="Burger"/>
    <x v="2"/>
    <n v="3"/>
    <n v="836.58"/>
    <x v="0"/>
    <n v="4"/>
    <d v="2025-07-17T00:00:00"/>
    <n v="270"/>
    <s v="Inactive"/>
    <m/>
    <d v="2025-08-12T00:00:00"/>
    <s v="Cancelled"/>
    <n v="2509.7400000000002"/>
  </r>
  <r>
    <x v="435"/>
    <s v="Other"/>
    <s v="Teenager"/>
    <x v="1"/>
    <d v="2024-02-06T00:00:00"/>
    <x v="435"/>
    <d v="2024-06-17T00:00:00"/>
    <x v="3"/>
    <s v="Burger"/>
    <x v="0"/>
    <n v="5"/>
    <n v="127.06"/>
    <x v="2"/>
    <n v="1"/>
    <d v="2025-05-28T00:00:00"/>
    <n v="307"/>
    <s v="Active"/>
    <n v="5"/>
    <d v="2025-03-13T00:00:00"/>
    <s v="Delivered"/>
    <n v="635.29999999999995"/>
  </r>
  <r>
    <x v="436"/>
    <s v="Other"/>
    <s v="Senior"/>
    <x v="4"/>
    <d v="2024-02-06T00:00:00"/>
    <x v="436"/>
    <d v="2024-06-17T00:00:00"/>
    <x v="1"/>
    <s v="Pizza"/>
    <x v="3"/>
    <n v="4"/>
    <n v="943.53"/>
    <x v="1"/>
    <n v="7"/>
    <d v="2025-05-11T00:00:00"/>
    <n v="353"/>
    <s v="Inactive"/>
    <n v="1"/>
    <d v="2024-09-06T00:00:00"/>
    <s v="Delayed"/>
    <n v="3774.12"/>
  </r>
  <r>
    <x v="437"/>
    <s v="Other"/>
    <s v="Adult"/>
    <x v="2"/>
    <d v="2025-04-28T00:00:00"/>
    <x v="437"/>
    <d v="2024-06-17T00:00:00"/>
    <x v="1"/>
    <s v="Pasta"/>
    <x v="3"/>
    <n v="1"/>
    <n v="746.89"/>
    <x v="2"/>
    <n v="22"/>
    <d v="2024-10-16T00:00:00"/>
    <n v="113"/>
    <s v="Active"/>
    <n v="5"/>
    <d v="2025-02-09T00:00:00"/>
    <s v="Delayed"/>
    <n v="746.89"/>
  </r>
  <r>
    <x v="438"/>
    <s v="Female"/>
    <s v="Senior"/>
    <x v="0"/>
    <d v="2025-05-26T00:00:00"/>
    <x v="438"/>
    <d v="2024-06-17T00:00:00"/>
    <x v="0"/>
    <s v="Pizza"/>
    <x v="4"/>
    <n v="3"/>
    <n v="586.33000000000004"/>
    <x v="2"/>
    <n v="41"/>
    <d v="2024-09-24T00:00:00"/>
    <n v="465"/>
    <s v="Active"/>
    <n v="3"/>
    <d v="2025-04-10T00:00:00"/>
    <s v="Delivered"/>
    <n v="1758.9900000000002"/>
  </r>
  <r>
    <x v="439"/>
    <s v="Other"/>
    <s v="Senior"/>
    <x v="2"/>
    <d v="2023-10-03T00:00:00"/>
    <x v="439"/>
    <d v="2024-06-17T00:00:00"/>
    <x v="4"/>
    <s v="Pizza"/>
    <x v="0"/>
    <n v="1"/>
    <n v="808.87"/>
    <x v="2"/>
    <n v="19"/>
    <d v="2024-10-06T00:00:00"/>
    <n v="47"/>
    <s v="Active"/>
    <n v="2"/>
    <d v="2025-04-06T00:00:00"/>
    <s v="Delivered"/>
    <n v="808.87"/>
  </r>
  <r>
    <x v="440"/>
    <s v="Male"/>
    <s v="Teenager"/>
    <x v="4"/>
    <d v="2025-07-18T00:00:00"/>
    <x v="440"/>
    <d v="2024-06-17T00:00:00"/>
    <x v="3"/>
    <s v="Burger"/>
    <x v="1"/>
    <n v="2"/>
    <n v="1108.26"/>
    <x v="1"/>
    <n v="19"/>
    <d v="2025-04-21T00:00:00"/>
    <n v="468"/>
    <s v="Inactive"/>
    <n v="2"/>
    <d v="2025-06-14T00:00:00"/>
    <s v="Delayed"/>
    <n v="2216.52"/>
  </r>
  <r>
    <x v="441"/>
    <s v="Male"/>
    <s v="Senior"/>
    <x v="3"/>
    <d v="2023-12-13T00:00:00"/>
    <x v="441"/>
    <d v="2024-06-17T00:00:00"/>
    <x v="0"/>
    <s v="Pasta"/>
    <x v="4"/>
    <n v="5"/>
    <n v="1268.0899999999999"/>
    <x v="2"/>
    <n v="29"/>
    <d v="2025-03-20T00:00:00"/>
    <n v="352"/>
    <s v="Active"/>
    <n v="2"/>
    <d v="2025-04-16T00:00:00"/>
    <s v="Delayed"/>
    <n v="6340.45"/>
  </r>
  <r>
    <x v="442"/>
    <s v="Female"/>
    <s v="Senior"/>
    <x v="1"/>
    <d v="2025-08-21T00:00:00"/>
    <x v="442"/>
    <d v="2024-06-17T00:00:00"/>
    <x v="2"/>
    <s v="Burger"/>
    <x v="2"/>
    <n v="5"/>
    <n v="1307.6600000000001"/>
    <x v="2"/>
    <n v="29"/>
    <d v="2025-07-29T00:00:00"/>
    <n v="193"/>
    <s v="Active"/>
    <m/>
    <d v="2025-04-26T00:00:00"/>
    <s v="Cancelled"/>
    <n v="6538.3"/>
  </r>
  <r>
    <x v="443"/>
    <s v="Other"/>
    <s v="Adult"/>
    <x v="1"/>
    <d v="2023-12-06T00:00:00"/>
    <x v="443"/>
    <d v="2024-06-17T00:00:00"/>
    <x v="1"/>
    <s v="Pasta"/>
    <x v="0"/>
    <n v="4"/>
    <n v="1337.94"/>
    <x v="1"/>
    <n v="36"/>
    <d v="2025-03-16T00:00:00"/>
    <n v="420"/>
    <s v="Active"/>
    <m/>
    <d v="2025-06-15T00:00:00"/>
    <s v="Cancelled"/>
    <n v="5351.76"/>
  </r>
  <r>
    <x v="444"/>
    <s v="Male"/>
    <s v="Teenager"/>
    <x v="2"/>
    <d v="2024-04-09T00:00:00"/>
    <x v="444"/>
    <d v="2024-06-17T00:00:00"/>
    <x v="1"/>
    <s v="Pasta"/>
    <x v="4"/>
    <n v="4"/>
    <n v="902.12"/>
    <x v="2"/>
    <n v="11"/>
    <d v="2024-12-19T00:00:00"/>
    <n v="496"/>
    <s v="Inactive"/>
    <m/>
    <d v="2025-07-11T00:00:00"/>
    <s v="Cancelled"/>
    <n v="3608.48"/>
  </r>
  <r>
    <x v="445"/>
    <s v="Female"/>
    <s v="Senior"/>
    <x v="2"/>
    <d v="2024-08-25T00:00:00"/>
    <x v="445"/>
    <d v="2024-06-18T00:00:00"/>
    <x v="1"/>
    <s v="Fries"/>
    <x v="2"/>
    <n v="4"/>
    <n v="666.42"/>
    <x v="2"/>
    <n v="24"/>
    <d v="2025-06-18T00:00:00"/>
    <n v="32"/>
    <s v="Active"/>
    <n v="2"/>
    <d v="2025-06-26T00:00:00"/>
    <s v="Delivered"/>
    <n v="2665.68"/>
  </r>
  <r>
    <x v="446"/>
    <s v="Male"/>
    <s v="Adult"/>
    <x v="2"/>
    <d v="2023-10-29T00:00:00"/>
    <x v="446"/>
    <d v="2024-06-18T00:00:00"/>
    <x v="2"/>
    <s v="Sandwich"/>
    <x v="4"/>
    <n v="5"/>
    <n v="944.43"/>
    <x v="0"/>
    <n v="45"/>
    <d v="2024-12-04T00:00:00"/>
    <n v="366"/>
    <s v="Inactive"/>
    <n v="5"/>
    <d v="2024-10-31T00:00:00"/>
    <s v="Delivered"/>
    <n v="4722.1499999999996"/>
  </r>
  <r>
    <x v="447"/>
    <s v="Female"/>
    <s v="Teenager"/>
    <x v="1"/>
    <d v="2025-04-07T00:00:00"/>
    <x v="447"/>
    <d v="2024-06-18T00:00:00"/>
    <x v="4"/>
    <s v="Pasta"/>
    <x v="4"/>
    <n v="5"/>
    <n v="1363.19"/>
    <x v="1"/>
    <n v="34"/>
    <d v="2024-08-22T00:00:00"/>
    <n v="488"/>
    <s v="Active"/>
    <n v="5"/>
    <d v="2024-11-02T00:00:00"/>
    <s v="Delivered"/>
    <n v="6815.9500000000007"/>
  </r>
  <r>
    <x v="448"/>
    <s v="Female"/>
    <s v="Adult"/>
    <x v="0"/>
    <d v="2025-05-09T00:00:00"/>
    <x v="448"/>
    <d v="2024-06-18T00:00:00"/>
    <x v="3"/>
    <s v="Sandwich"/>
    <x v="1"/>
    <n v="2"/>
    <n v="1171.1400000000001"/>
    <x v="2"/>
    <n v="34"/>
    <d v="2024-10-25T00:00:00"/>
    <n v="479"/>
    <s v="Active"/>
    <m/>
    <d v="2025-03-17T00:00:00"/>
    <s v="Cancelled"/>
    <n v="2342.2800000000002"/>
  </r>
  <r>
    <x v="449"/>
    <s v="Female"/>
    <s v="Senior"/>
    <x v="0"/>
    <d v="2024-08-27T00:00:00"/>
    <x v="449"/>
    <d v="2024-06-18T00:00:00"/>
    <x v="3"/>
    <s v="Fries"/>
    <x v="3"/>
    <n v="2"/>
    <n v="1015.87"/>
    <x v="2"/>
    <n v="27"/>
    <d v="2025-08-05T00:00:00"/>
    <n v="203"/>
    <s v="Inactive"/>
    <n v="3"/>
    <d v="2025-04-25T00:00:00"/>
    <s v="Delayed"/>
    <n v="2031.74"/>
  </r>
  <r>
    <x v="450"/>
    <s v="Male"/>
    <s v="Teenager"/>
    <x v="4"/>
    <d v="2025-04-14T00:00:00"/>
    <x v="450"/>
    <d v="2024-06-18T00:00:00"/>
    <x v="4"/>
    <s v="Fries"/>
    <x v="1"/>
    <n v="2"/>
    <n v="1076.49"/>
    <x v="1"/>
    <n v="18"/>
    <d v="2025-05-08T00:00:00"/>
    <n v="401"/>
    <s v="Inactive"/>
    <n v="3"/>
    <d v="2024-08-21T00:00:00"/>
    <s v="Delayed"/>
    <n v="2152.98"/>
  </r>
  <r>
    <x v="451"/>
    <s v="Female"/>
    <s v="Adult"/>
    <x v="4"/>
    <d v="2024-01-11T00:00:00"/>
    <x v="451"/>
    <d v="2024-06-18T00:00:00"/>
    <x v="0"/>
    <s v="Burger"/>
    <x v="2"/>
    <n v="5"/>
    <n v="1371.51"/>
    <x v="1"/>
    <n v="18"/>
    <d v="2024-12-25T00:00:00"/>
    <n v="129"/>
    <s v="Inactive"/>
    <n v="3"/>
    <d v="2025-04-19T00:00:00"/>
    <s v="Delayed"/>
    <n v="6857.55"/>
  </r>
  <r>
    <x v="452"/>
    <s v="Female"/>
    <s v="Senior"/>
    <x v="4"/>
    <d v="2024-03-03T00:00:00"/>
    <x v="452"/>
    <d v="2024-06-19T00:00:00"/>
    <x v="3"/>
    <s v="Pasta"/>
    <x v="0"/>
    <n v="5"/>
    <n v="388.88"/>
    <x v="0"/>
    <n v="35"/>
    <d v="2025-01-31T00:00:00"/>
    <n v="165"/>
    <s v="Active"/>
    <n v="1"/>
    <d v="2024-12-12T00:00:00"/>
    <s v="Delayed"/>
    <n v="1944.4"/>
  </r>
  <r>
    <x v="453"/>
    <s v="Female"/>
    <s v="Senior"/>
    <x v="2"/>
    <d v="2025-01-01T00:00:00"/>
    <x v="453"/>
    <d v="2024-06-19T00:00:00"/>
    <x v="0"/>
    <s v="Pasta"/>
    <x v="4"/>
    <n v="3"/>
    <n v="183.44"/>
    <x v="1"/>
    <n v="7"/>
    <d v="2024-10-06T00:00:00"/>
    <n v="448"/>
    <s v="Inactive"/>
    <m/>
    <d v="2025-03-27T00:00:00"/>
    <s v="Cancelled"/>
    <n v="550.31999999999994"/>
  </r>
  <r>
    <x v="454"/>
    <s v="Male"/>
    <s v="Adult"/>
    <x v="2"/>
    <d v="2023-12-10T00:00:00"/>
    <x v="454"/>
    <d v="2024-06-19T00:00:00"/>
    <x v="3"/>
    <s v="Pasta"/>
    <x v="2"/>
    <n v="1"/>
    <n v="721"/>
    <x v="1"/>
    <n v="1"/>
    <d v="2025-03-05T00:00:00"/>
    <n v="163"/>
    <s v="Inactive"/>
    <n v="2"/>
    <d v="2025-06-19T00:00:00"/>
    <s v="Delayed"/>
    <n v="721"/>
  </r>
  <r>
    <x v="455"/>
    <s v="Other"/>
    <s v="Teenager"/>
    <x v="0"/>
    <d v="2024-06-24T00:00:00"/>
    <x v="455"/>
    <d v="2024-06-19T00:00:00"/>
    <x v="2"/>
    <s v="Burger"/>
    <x v="1"/>
    <n v="5"/>
    <n v="256.02999999999997"/>
    <x v="1"/>
    <n v="43"/>
    <d v="2024-11-27T00:00:00"/>
    <n v="386"/>
    <s v="Inactive"/>
    <n v="5"/>
    <d v="2025-05-15T00:00:00"/>
    <s v="Delayed"/>
    <n v="1280.1499999999999"/>
  </r>
  <r>
    <x v="456"/>
    <s v="Male"/>
    <s v="Senior"/>
    <x v="0"/>
    <d v="2025-03-12T00:00:00"/>
    <x v="456"/>
    <d v="2024-06-19T00:00:00"/>
    <x v="1"/>
    <s v="Sandwich"/>
    <x v="3"/>
    <n v="3"/>
    <n v="1001.26"/>
    <x v="1"/>
    <n v="16"/>
    <d v="2024-12-22T00:00:00"/>
    <n v="83"/>
    <s v="Inactive"/>
    <n v="5"/>
    <d v="2024-10-27T00:00:00"/>
    <s v="Delayed"/>
    <n v="3003.7799999999997"/>
  </r>
  <r>
    <x v="457"/>
    <s v="Male"/>
    <s v="Teenager"/>
    <x v="2"/>
    <d v="2024-10-17T00:00:00"/>
    <x v="457"/>
    <d v="2024-06-19T00:00:00"/>
    <x v="0"/>
    <s v="Sandwich"/>
    <x v="0"/>
    <n v="1"/>
    <n v="1022.84"/>
    <x v="0"/>
    <n v="30"/>
    <d v="2024-11-17T00:00:00"/>
    <n v="460"/>
    <s v="Inactive"/>
    <m/>
    <d v="2024-10-29T00:00:00"/>
    <s v="Cancelled"/>
    <n v="1022.84"/>
  </r>
  <r>
    <x v="458"/>
    <s v="Other"/>
    <s v="Senior"/>
    <x v="4"/>
    <d v="2024-07-17T00:00:00"/>
    <x v="458"/>
    <d v="2024-06-19T00:00:00"/>
    <x v="3"/>
    <s v="Pasta"/>
    <x v="3"/>
    <n v="5"/>
    <n v="350.56"/>
    <x v="0"/>
    <n v="15"/>
    <d v="2025-03-06T00:00:00"/>
    <n v="497"/>
    <s v="Active"/>
    <n v="2"/>
    <d v="2025-02-20T00:00:00"/>
    <s v="Delayed"/>
    <n v="1752.8"/>
  </r>
  <r>
    <x v="459"/>
    <s v="Female"/>
    <s v="Senior"/>
    <x v="1"/>
    <d v="2024-09-12T00:00:00"/>
    <x v="459"/>
    <d v="2024-06-19T00:00:00"/>
    <x v="1"/>
    <s v="Burger"/>
    <x v="0"/>
    <n v="3"/>
    <n v="329.48"/>
    <x v="2"/>
    <n v="10"/>
    <d v="2025-01-10T00:00:00"/>
    <n v="71"/>
    <s v="Active"/>
    <m/>
    <d v="2024-12-20T00:00:00"/>
    <s v="Cancelled"/>
    <n v="988.44"/>
  </r>
  <r>
    <x v="460"/>
    <s v="Female"/>
    <s v="Senior"/>
    <x v="0"/>
    <d v="2024-11-19T00:00:00"/>
    <x v="460"/>
    <d v="2024-06-19T00:00:00"/>
    <x v="4"/>
    <s v="Burger"/>
    <x v="2"/>
    <n v="1"/>
    <n v="709.62"/>
    <x v="2"/>
    <n v="26"/>
    <d v="2024-10-26T00:00:00"/>
    <n v="341"/>
    <s v="Inactive"/>
    <n v="5"/>
    <d v="2025-07-01T00:00:00"/>
    <s v="Delivered"/>
    <n v="709.62"/>
  </r>
  <r>
    <x v="461"/>
    <s v="Female"/>
    <s v="Adult"/>
    <x v="2"/>
    <d v="2024-08-06T00:00:00"/>
    <x v="461"/>
    <d v="2024-06-19T00:00:00"/>
    <x v="4"/>
    <s v="Burger"/>
    <x v="2"/>
    <n v="2"/>
    <n v="1002.9"/>
    <x v="2"/>
    <n v="7"/>
    <d v="2025-02-26T00:00:00"/>
    <n v="57"/>
    <s v="Active"/>
    <m/>
    <d v="2024-08-28T00:00:00"/>
    <s v="Cancelled"/>
    <n v="2005.8"/>
  </r>
  <r>
    <x v="462"/>
    <s v="Female"/>
    <s v="Senior"/>
    <x v="3"/>
    <d v="2023-09-18T00:00:00"/>
    <x v="462"/>
    <d v="2024-06-20T00:00:00"/>
    <x v="1"/>
    <s v="Sandwich"/>
    <x v="1"/>
    <n v="1"/>
    <n v="1247.78"/>
    <x v="1"/>
    <n v="34"/>
    <d v="2025-04-07T00:00:00"/>
    <n v="392"/>
    <s v="Inactive"/>
    <m/>
    <d v="2025-03-04T00:00:00"/>
    <s v="Cancelled"/>
    <n v="1247.78"/>
  </r>
  <r>
    <x v="463"/>
    <s v="Male"/>
    <s v="Adult"/>
    <x v="3"/>
    <d v="2024-10-27T00:00:00"/>
    <x v="463"/>
    <d v="2024-06-20T00:00:00"/>
    <x v="1"/>
    <s v="Sandwich"/>
    <x v="2"/>
    <n v="2"/>
    <n v="791.18"/>
    <x v="1"/>
    <n v="10"/>
    <d v="2025-01-10T00:00:00"/>
    <n v="229"/>
    <s v="Inactive"/>
    <n v="5"/>
    <d v="2024-12-14T00:00:00"/>
    <s v="Delivered"/>
    <n v="1582.36"/>
  </r>
  <r>
    <x v="464"/>
    <s v="Male"/>
    <s v="Adult"/>
    <x v="2"/>
    <d v="2024-02-05T00:00:00"/>
    <x v="464"/>
    <d v="2024-06-20T00:00:00"/>
    <x v="3"/>
    <s v="Fries"/>
    <x v="3"/>
    <n v="4"/>
    <n v="763.48"/>
    <x v="0"/>
    <n v="9"/>
    <d v="2025-01-21T00:00:00"/>
    <n v="473"/>
    <s v="Active"/>
    <m/>
    <d v="2024-09-03T00:00:00"/>
    <s v="Cancelled"/>
    <n v="3053.92"/>
  </r>
  <r>
    <x v="465"/>
    <s v="Male"/>
    <s v="Senior"/>
    <x v="3"/>
    <d v="2024-12-30T00:00:00"/>
    <x v="465"/>
    <d v="2024-06-20T00:00:00"/>
    <x v="1"/>
    <s v="Burger"/>
    <x v="0"/>
    <n v="5"/>
    <n v="1430.31"/>
    <x v="2"/>
    <n v="37"/>
    <d v="2025-06-02T00:00:00"/>
    <n v="234"/>
    <s v="Active"/>
    <n v="4"/>
    <d v="2024-09-24T00:00:00"/>
    <s v="Delayed"/>
    <n v="7151.5499999999993"/>
  </r>
  <r>
    <x v="466"/>
    <s v="Female"/>
    <s v="Adult"/>
    <x v="4"/>
    <d v="2025-08-07T00:00:00"/>
    <x v="466"/>
    <d v="2024-06-20T00:00:00"/>
    <x v="3"/>
    <s v="Burger"/>
    <x v="3"/>
    <n v="4"/>
    <n v="595.96"/>
    <x v="2"/>
    <n v="39"/>
    <d v="2025-08-11T00:00:00"/>
    <n v="2"/>
    <s v="Inactive"/>
    <n v="2"/>
    <d v="2024-11-20T00:00:00"/>
    <s v="Delivered"/>
    <n v="2383.84"/>
  </r>
  <r>
    <x v="467"/>
    <s v="Other"/>
    <s v="Teenager"/>
    <x v="3"/>
    <d v="2025-06-15T00:00:00"/>
    <x v="467"/>
    <d v="2024-06-20T00:00:00"/>
    <x v="4"/>
    <s v="Pasta"/>
    <x v="2"/>
    <n v="1"/>
    <n v="1058.6099999999999"/>
    <x v="1"/>
    <n v="11"/>
    <d v="2025-02-10T00:00:00"/>
    <n v="389"/>
    <s v="Active"/>
    <n v="1"/>
    <d v="2024-12-31T00:00:00"/>
    <s v="Delivered"/>
    <n v="1058.6099999999999"/>
  </r>
  <r>
    <x v="468"/>
    <s v="Male"/>
    <s v="Adult"/>
    <x v="0"/>
    <d v="2025-03-03T00:00:00"/>
    <x v="468"/>
    <d v="2024-06-21T00:00:00"/>
    <x v="3"/>
    <s v="Burger"/>
    <x v="0"/>
    <n v="5"/>
    <n v="317.39999999999998"/>
    <x v="2"/>
    <n v="47"/>
    <d v="2025-08-04T00:00:00"/>
    <n v="500"/>
    <s v="Active"/>
    <n v="4"/>
    <d v="2025-06-03T00:00:00"/>
    <s v="Delivered"/>
    <n v="1587"/>
  </r>
  <r>
    <x v="469"/>
    <s v="Male"/>
    <s v="Teenager"/>
    <x v="4"/>
    <d v="2024-09-25T00:00:00"/>
    <x v="469"/>
    <d v="2024-06-21T00:00:00"/>
    <x v="0"/>
    <s v="Pizza"/>
    <x v="4"/>
    <n v="2"/>
    <n v="843.83"/>
    <x v="2"/>
    <n v="6"/>
    <d v="2025-02-26T00:00:00"/>
    <n v="131"/>
    <s v="Active"/>
    <n v="4"/>
    <d v="2025-04-02T00:00:00"/>
    <s v="Delivered"/>
    <n v="1687.66"/>
  </r>
  <r>
    <x v="470"/>
    <s v="Male"/>
    <s v="Senior"/>
    <x v="3"/>
    <d v="2024-06-17T00:00:00"/>
    <x v="470"/>
    <d v="2024-06-21T00:00:00"/>
    <x v="0"/>
    <s v="Burger"/>
    <x v="1"/>
    <n v="3"/>
    <n v="981.66"/>
    <x v="2"/>
    <n v="46"/>
    <d v="2024-11-11T00:00:00"/>
    <n v="173"/>
    <s v="Active"/>
    <m/>
    <d v="2024-09-27T00:00:00"/>
    <s v="Cancelled"/>
    <n v="2944.98"/>
  </r>
  <r>
    <x v="471"/>
    <s v="Female"/>
    <s v="Adult"/>
    <x v="0"/>
    <d v="2024-12-08T00:00:00"/>
    <x v="471"/>
    <d v="2024-06-21T00:00:00"/>
    <x v="2"/>
    <s v="Fries"/>
    <x v="4"/>
    <n v="5"/>
    <n v="1209.1099999999999"/>
    <x v="1"/>
    <n v="13"/>
    <d v="2024-10-11T00:00:00"/>
    <n v="108"/>
    <s v="Inactive"/>
    <m/>
    <d v="2025-06-08T00:00:00"/>
    <s v="Cancelled"/>
    <n v="6045.5499999999993"/>
  </r>
  <r>
    <x v="472"/>
    <s v="Female"/>
    <s v="Teenager"/>
    <x v="2"/>
    <d v="2024-03-10T00:00:00"/>
    <x v="472"/>
    <d v="2024-06-21T00:00:00"/>
    <x v="0"/>
    <s v="Fries"/>
    <x v="3"/>
    <n v="5"/>
    <n v="655.51"/>
    <x v="2"/>
    <n v="42"/>
    <d v="2024-11-11T00:00:00"/>
    <n v="298"/>
    <s v="Active"/>
    <n v="1"/>
    <d v="2025-01-05T00:00:00"/>
    <s v="Delayed"/>
    <n v="3277.55"/>
  </r>
  <r>
    <x v="473"/>
    <s v="Female"/>
    <s v="Adult"/>
    <x v="2"/>
    <d v="2025-01-26T00:00:00"/>
    <x v="473"/>
    <d v="2024-06-21T00:00:00"/>
    <x v="2"/>
    <s v="Fries"/>
    <x v="1"/>
    <n v="5"/>
    <n v="836.99"/>
    <x v="0"/>
    <n v="22"/>
    <d v="2025-02-04T00:00:00"/>
    <n v="58"/>
    <s v="Inactive"/>
    <m/>
    <d v="2024-10-24T00:00:00"/>
    <s v="Cancelled"/>
    <n v="4184.95"/>
  </r>
  <r>
    <x v="474"/>
    <s v="Other"/>
    <s v="Senior"/>
    <x v="3"/>
    <d v="2025-05-29T00:00:00"/>
    <x v="474"/>
    <d v="2024-06-21T00:00:00"/>
    <x v="2"/>
    <s v="Sandwich"/>
    <x v="0"/>
    <n v="4"/>
    <n v="1312.16"/>
    <x v="1"/>
    <n v="6"/>
    <d v="2025-05-16T00:00:00"/>
    <n v="361"/>
    <s v="Active"/>
    <m/>
    <d v="2025-07-29T00:00:00"/>
    <s v="Cancelled"/>
    <n v="5248.64"/>
  </r>
  <r>
    <x v="475"/>
    <s v="Female"/>
    <s v="Teenager"/>
    <x v="3"/>
    <d v="2024-10-18T00:00:00"/>
    <x v="475"/>
    <d v="2024-06-21T00:00:00"/>
    <x v="4"/>
    <s v="Sandwich"/>
    <x v="4"/>
    <n v="2"/>
    <n v="1116.6199999999999"/>
    <x v="2"/>
    <n v="3"/>
    <d v="2024-11-19T00:00:00"/>
    <n v="82"/>
    <s v="Active"/>
    <m/>
    <d v="2024-10-12T00:00:00"/>
    <s v="Cancelled"/>
    <n v="2233.2399999999998"/>
  </r>
  <r>
    <x v="476"/>
    <s v="Other"/>
    <s v="Senior"/>
    <x v="2"/>
    <d v="2024-08-16T00:00:00"/>
    <x v="476"/>
    <d v="2024-06-21T00:00:00"/>
    <x v="1"/>
    <s v="Pizza"/>
    <x v="2"/>
    <n v="1"/>
    <n v="1464.16"/>
    <x v="2"/>
    <n v="2"/>
    <d v="2025-05-03T00:00:00"/>
    <n v="340"/>
    <s v="Inactive"/>
    <n v="5"/>
    <d v="2024-12-01T00:00:00"/>
    <s v="Delivered"/>
    <n v="1464.16"/>
  </r>
  <r>
    <x v="477"/>
    <s v="Male"/>
    <s v="Adult"/>
    <x v="3"/>
    <d v="2024-01-23T00:00:00"/>
    <x v="477"/>
    <d v="2024-06-21T00:00:00"/>
    <x v="2"/>
    <s v="Pizza"/>
    <x v="1"/>
    <n v="3"/>
    <n v="359.45"/>
    <x v="2"/>
    <n v="30"/>
    <d v="2025-04-25T00:00:00"/>
    <n v="155"/>
    <s v="Inactive"/>
    <n v="2"/>
    <d v="2024-10-29T00:00:00"/>
    <s v="Delayed"/>
    <n v="1078.3499999999999"/>
  </r>
  <r>
    <x v="478"/>
    <s v="Male"/>
    <s v="Adult"/>
    <x v="1"/>
    <d v="2025-01-12T00:00:00"/>
    <x v="478"/>
    <d v="2024-06-22T00:00:00"/>
    <x v="3"/>
    <s v="Sandwich"/>
    <x v="1"/>
    <n v="3"/>
    <n v="729.12"/>
    <x v="1"/>
    <n v="5"/>
    <d v="2024-09-30T00:00:00"/>
    <n v="216"/>
    <s v="Active"/>
    <n v="5"/>
    <d v="2025-01-13T00:00:00"/>
    <s v="Delivered"/>
    <n v="2187.36"/>
  </r>
  <r>
    <x v="479"/>
    <s v="Male"/>
    <s v="Teenager"/>
    <x v="0"/>
    <d v="2025-03-26T00:00:00"/>
    <x v="479"/>
    <d v="2024-06-22T00:00:00"/>
    <x v="1"/>
    <s v="Fries"/>
    <x v="0"/>
    <n v="5"/>
    <n v="239.51"/>
    <x v="1"/>
    <n v="47"/>
    <d v="2025-04-13T00:00:00"/>
    <n v="487"/>
    <s v="Active"/>
    <n v="2"/>
    <d v="2024-11-08T00:00:00"/>
    <s v="Delivered"/>
    <n v="1197.55"/>
  </r>
  <r>
    <x v="480"/>
    <s v="Male"/>
    <s v="Adult"/>
    <x v="4"/>
    <d v="2024-11-28T00:00:00"/>
    <x v="480"/>
    <d v="2024-06-22T00:00:00"/>
    <x v="2"/>
    <s v="Burger"/>
    <x v="1"/>
    <n v="1"/>
    <n v="377.81"/>
    <x v="1"/>
    <n v="47"/>
    <d v="2024-09-19T00:00:00"/>
    <n v="290"/>
    <s v="Inactive"/>
    <m/>
    <d v="2024-09-01T00:00:00"/>
    <s v="Cancelled"/>
    <n v="377.81"/>
  </r>
  <r>
    <x v="481"/>
    <s v="Other"/>
    <s v="Senior"/>
    <x v="2"/>
    <d v="2024-08-02T00:00:00"/>
    <x v="481"/>
    <d v="2024-06-22T00:00:00"/>
    <x v="3"/>
    <s v="Pizza"/>
    <x v="0"/>
    <n v="1"/>
    <n v="1043"/>
    <x v="2"/>
    <n v="25"/>
    <d v="2025-07-09T00:00:00"/>
    <n v="214"/>
    <s v="Active"/>
    <n v="5"/>
    <d v="2025-01-08T00:00:00"/>
    <s v="Delayed"/>
    <n v="1043"/>
  </r>
  <r>
    <x v="482"/>
    <s v="Male"/>
    <s v="Senior"/>
    <x v="1"/>
    <d v="2024-04-18T00:00:00"/>
    <x v="482"/>
    <d v="2024-06-22T00:00:00"/>
    <x v="2"/>
    <s v="Pasta"/>
    <x v="0"/>
    <n v="3"/>
    <n v="1449.87"/>
    <x v="0"/>
    <n v="43"/>
    <d v="2025-02-26T00:00:00"/>
    <n v="189"/>
    <s v="Active"/>
    <n v="2"/>
    <d v="2024-10-03T00:00:00"/>
    <s v="Delivered"/>
    <n v="4349.6099999999997"/>
  </r>
  <r>
    <x v="483"/>
    <s v="Female"/>
    <s v="Teenager"/>
    <x v="0"/>
    <d v="2025-05-22T00:00:00"/>
    <x v="483"/>
    <d v="2024-06-22T00:00:00"/>
    <x v="0"/>
    <s v="Sandwich"/>
    <x v="1"/>
    <n v="1"/>
    <n v="1161.05"/>
    <x v="1"/>
    <n v="22"/>
    <d v="2024-09-28T00:00:00"/>
    <n v="158"/>
    <s v="Inactive"/>
    <m/>
    <d v="2024-08-25T00:00:00"/>
    <s v="Cancelled"/>
    <n v="1161.05"/>
  </r>
  <r>
    <x v="484"/>
    <s v="Male"/>
    <s v="Senior"/>
    <x v="0"/>
    <d v="2024-07-25T00:00:00"/>
    <x v="484"/>
    <d v="2024-06-22T00:00:00"/>
    <x v="3"/>
    <s v="Pasta"/>
    <x v="4"/>
    <n v="4"/>
    <n v="1147.06"/>
    <x v="2"/>
    <n v="8"/>
    <d v="2024-12-28T00:00:00"/>
    <n v="482"/>
    <s v="Active"/>
    <n v="1"/>
    <d v="2024-11-30T00:00:00"/>
    <s v="Delayed"/>
    <n v="4588.24"/>
  </r>
  <r>
    <x v="485"/>
    <s v="Male"/>
    <s v="Teenager"/>
    <x v="1"/>
    <d v="2023-09-02T00:00:00"/>
    <x v="485"/>
    <d v="2024-06-22T00:00:00"/>
    <x v="3"/>
    <s v="Pasta"/>
    <x v="0"/>
    <n v="5"/>
    <n v="1098.22"/>
    <x v="2"/>
    <n v="22"/>
    <d v="2025-04-08T00:00:00"/>
    <n v="5"/>
    <s v="Active"/>
    <m/>
    <d v="2025-06-10T00:00:00"/>
    <s v="Cancelled"/>
    <n v="5491.1"/>
  </r>
  <r>
    <x v="486"/>
    <s v="Other"/>
    <s v="Teenager"/>
    <x v="4"/>
    <d v="2025-07-31T00:00:00"/>
    <x v="486"/>
    <d v="2024-06-22T00:00:00"/>
    <x v="1"/>
    <s v="Fries"/>
    <x v="0"/>
    <n v="2"/>
    <n v="433.5"/>
    <x v="1"/>
    <n v="43"/>
    <d v="2025-05-20T00:00:00"/>
    <n v="28"/>
    <s v="Inactive"/>
    <n v="1"/>
    <d v="2025-02-25T00:00:00"/>
    <s v="Delivered"/>
    <n v="867"/>
  </r>
  <r>
    <x v="487"/>
    <s v="Male"/>
    <s v="Teenager"/>
    <x v="0"/>
    <d v="2025-01-21T00:00:00"/>
    <x v="487"/>
    <d v="2024-06-22T00:00:00"/>
    <x v="3"/>
    <s v="Fries"/>
    <x v="4"/>
    <n v="4"/>
    <n v="121.44"/>
    <x v="1"/>
    <n v="48"/>
    <d v="2025-03-04T00:00:00"/>
    <n v="431"/>
    <s v="Inactive"/>
    <m/>
    <d v="2025-01-19T00:00:00"/>
    <s v="Cancelled"/>
    <n v="485.76"/>
  </r>
  <r>
    <x v="488"/>
    <s v="Female"/>
    <s v="Senior"/>
    <x v="2"/>
    <d v="2024-10-08T00:00:00"/>
    <x v="488"/>
    <d v="2024-06-22T00:00:00"/>
    <x v="2"/>
    <s v="Pasta"/>
    <x v="3"/>
    <n v="4"/>
    <n v="665.96"/>
    <x v="1"/>
    <n v="33"/>
    <d v="2024-11-16T00:00:00"/>
    <n v="40"/>
    <s v="Inactive"/>
    <m/>
    <d v="2025-04-11T00:00:00"/>
    <s v="Cancelled"/>
    <n v="2663.84"/>
  </r>
  <r>
    <x v="489"/>
    <s v="Other"/>
    <s v="Senior"/>
    <x v="2"/>
    <d v="2025-04-28T00:00:00"/>
    <x v="489"/>
    <d v="2024-06-22T00:00:00"/>
    <x v="0"/>
    <s v="Pizza"/>
    <x v="2"/>
    <n v="4"/>
    <n v="452.06"/>
    <x v="0"/>
    <n v="14"/>
    <d v="2024-10-18T00:00:00"/>
    <n v="416"/>
    <s v="Active"/>
    <n v="4"/>
    <d v="2024-10-16T00:00:00"/>
    <s v="Delivered"/>
    <n v="1808.24"/>
  </r>
  <r>
    <x v="490"/>
    <s v="Other"/>
    <s v="Senior"/>
    <x v="4"/>
    <d v="2024-10-09T00:00:00"/>
    <x v="490"/>
    <d v="2024-06-23T00:00:00"/>
    <x v="3"/>
    <s v="Burger"/>
    <x v="4"/>
    <n v="1"/>
    <n v="1042.3499999999999"/>
    <x v="0"/>
    <n v="50"/>
    <d v="2025-03-01T00:00:00"/>
    <n v="189"/>
    <s v="Active"/>
    <m/>
    <d v="2024-09-21T00:00:00"/>
    <s v="Cancelled"/>
    <n v="1042.3499999999999"/>
  </r>
  <r>
    <x v="491"/>
    <s v="Other"/>
    <s v="Senior"/>
    <x v="3"/>
    <d v="2023-10-21T00:00:00"/>
    <x v="491"/>
    <d v="2024-06-23T00:00:00"/>
    <x v="1"/>
    <s v="Pasta"/>
    <x v="1"/>
    <n v="3"/>
    <n v="642.1"/>
    <x v="0"/>
    <n v="27"/>
    <d v="2025-01-07T00:00:00"/>
    <n v="471"/>
    <s v="Inactive"/>
    <m/>
    <d v="2025-04-29T00:00:00"/>
    <s v="Cancelled"/>
    <n v="1926.3000000000002"/>
  </r>
  <r>
    <x v="492"/>
    <s v="Other"/>
    <s v="Adult"/>
    <x v="4"/>
    <d v="2024-07-04T00:00:00"/>
    <x v="492"/>
    <d v="2024-06-23T00:00:00"/>
    <x v="1"/>
    <s v="Pizza"/>
    <x v="2"/>
    <n v="1"/>
    <n v="1217.29"/>
    <x v="1"/>
    <n v="44"/>
    <d v="2025-06-09T00:00:00"/>
    <n v="99"/>
    <s v="Active"/>
    <m/>
    <d v="2024-08-25T00:00:00"/>
    <s v="Cancelled"/>
    <n v="1217.29"/>
  </r>
  <r>
    <x v="493"/>
    <s v="Female"/>
    <s v="Senior"/>
    <x v="4"/>
    <d v="2023-12-24T00:00:00"/>
    <x v="493"/>
    <d v="2024-06-23T00:00:00"/>
    <x v="0"/>
    <s v="Burger"/>
    <x v="4"/>
    <n v="3"/>
    <n v="959.58"/>
    <x v="0"/>
    <n v="46"/>
    <d v="2025-04-18T00:00:00"/>
    <n v="120"/>
    <s v="Active"/>
    <m/>
    <d v="2025-02-24T00:00:00"/>
    <s v="Cancelled"/>
    <n v="2878.7400000000002"/>
  </r>
  <r>
    <x v="494"/>
    <s v="Male"/>
    <s v="Teenager"/>
    <x v="0"/>
    <d v="2024-11-08T00:00:00"/>
    <x v="494"/>
    <d v="2024-06-23T00:00:00"/>
    <x v="0"/>
    <s v="Pizza"/>
    <x v="0"/>
    <n v="5"/>
    <n v="138.81"/>
    <x v="2"/>
    <n v="25"/>
    <d v="2025-02-20T00:00:00"/>
    <n v="72"/>
    <s v="Inactive"/>
    <m/>
    <d v="2025-01-31T00:00:00"/>
    <s v="Cancelled"/>
    <n v="694.05"/>
  </r>
  <r>
    <x v="495"/>
    <s v="Other"/>
    <s v="Adult"/>
    <x v="0"/>
    <d v="2023-12-21T00:00:00"/>
    <x v="495"/>
    <d v="2024-06-24T00:00:00"/>
    <x v="2"/>
    <s v="Sandwich"/>
    <x v="1"/>
    <n v="5"/>
    <n v="232.89"/>
    <x v="0"/>
    <n v="9"/>
    <d v="2025-05-03T00:00:00"/>
    <n v="108"/>
    <s v="Inactive"/>
    <n v="5"/>
    <d v="2024-10-23T00:00:00"/>
    <s v="Delivered"/>
    <n v="1164.4499999999998"/>
  </r>
  <r>
    <x v="496"/>
    <s v="Male"/>
    <s v="Teenager"/>
    <x v="2"/>
    <d v="2024-11-18T00:00:00"/>
    <x v="496"/>
    <d v="2024-06-24T00:00:00"/>
    <x v="4"/>
    <s v="Sandwich"/>
    <x v="2"/>
    <n v="3"/>
    <n v="708.48"/>
    <x v="0"/>
    <n v="42"/>
    <d v="2025-06-12T00:00:00"/>
    <n v="207"/>
    <s v="Active"/>
    <n v="3"/>
    <d v="2024-10-24T00:00:00"/>
    <s v="Delayed"/>
    <n v="2125.44"/>
  </r>
  <r>
    <x v="497"/>
    <s v="Male"/>
    <s v="Teenager"/>
    <x v="3"/>
    <d v="2023-10-10T00:00:00"/>
    <x v="497"/>
    <d v="2024-06-24T00:00:00"/>
    <x v="3"/>
    <s v="Pizza"/>
    <x v="0"/>
    <n v="3"/>
    <n v="980.96"/>
    <x v="0"/>
    <n v="41"/>
    <d v="2025-04-21T00:00:00"/>
    <n v="84"/>
    <s v="Inactive"/>
    <m/>
    <d v="2025-05-03T00:00:00"/>
    <s v="Cancelled"/>
    <n v="2942.88"/>
  </r>
  <r>
    <x v="498"/>
    <s v="Other"/>
    <s v="Adult"/>
    <x v="4"/>
    <d v="2025-05-13T00:00:00"/>
    <x v="498"/>
    <d v="2024-06-24T00:00:00"/>
    <x v="1"/>
    <s v="Fries"/>
    <x v="3"/>
    <n v="5"/>
    <n v="683.33"/>
    <x v="2"/>
    <n v="10"/>
    <d v="2025-08-08T00:00:00"/>
    <n v="52"/>
    <s v="Inactive"/>
    <n v="5"/>
    <d v="2025-07-12T00:00:00"/>
    <s v="Delayed"/>
    <n v="3416.65"/>
  </r>
  <r>
    <x v="499"/>
    <s v="Female"/>
    <s v="Adult"/>
    <x v="4"/>
    <d v="2025-05-31T00:00:00"/>
    <x v="499"/>
    <d v="2024-06-25T00:00:00"/>
    <x v="3"/>
    <s v="Pizza"/>
    <x v="4"/>
    <n v="1"/>
    <n v="642.39"/>
    <x v="2"/>
    <n v="17"/>
    <d v="2024-09-14T00:00:00"/>
    <n v="347"/>
    <s v="Inactive"/>
    <m/>
    <d v="2024-08-31T00:00:00"/>
    <s v="Cancelled"/>
    <n v="642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ADDC1-8C3A-4718-9EDD-EECB2612457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8" firstHeaderRow="1" firstDataRow="1" firstDataCol="1"/>
  <pivotFields count="21">
    <pivotField showAll="0">
      <items count="501">
        <item x="174"/>
        <item x="357"/>
        <item x="126"/>
        <item x="83"/>
        <item x="22"/>
        <item x="321"/>
        <item x="302"/>
        <item x="384"/>
        <item x="151"/>
        <item x="212"/>
        <item x="102"/>
        <item x="351"/>
        <item x="276"/>
        <item x="467"/>
        <item x="76"/>
        <item x="304"/>
        <item x="388"/>
        <item x="81"/>
        <item x="5"/>
        <item x="261"/>
        <item x="20"/>
        <item x="446"/>
        <item x="339"/>
        <item x="94"/>
        <item x="239"/>
        <item x="221"/>
        <item x="459"/>
        <item x="322"/>
        <item x="187"/>
        <item x="309"/>
        <item x="331"/>
        <item x="186"/>
        <item x="215"/>
        <item x="213"/>
        <item x="38"/>
        <item x="58"/>
        <item x="227"/>
        <item x="95"/>
        <item x="419"/>
        <item x="147"/>
        <item x="47"/>
        <item x="374"/>
        <item x="298"/>
        <item x="272"/>
        <item x="405"/>
        <item x="263"/>
        <item x="289"/>
        <item x="329"/>
        <item x="379"/>
        <item x="237"/>
        <item x="319"/>
        <item x="70"/>
        <item x="69"/>
        <item x="411"/>
        <item x="279"/>
        <item x="128"/>
        <item x="188"/>
        <item x="416"/>
        <item x="460"/>
        <item x="378"/>
        <item x="157"/>
        <item x="140"/>
        <item x="29"/>
        <item x="433"/>
        <item x="89"/>
        <item x="377"/>
        <item x="45"/>
        <item x="138"/>
        <item x="457"/>
        <item x="456"/>
        <item x="354"/>
        <item x="166"/>
        <item x="2"/>
        <item x="286"/>
        <item x="64"/>
        <item x="485"/>
        <item x="344"/>
        <item x="392"/>
        <item x="250"/>
        <item x="492"/>
        <item x="66"/>
        <item x="435"/>
        <item x="135"/>
        <item x="134"/>
        <item x="32"/>
        <item x="67"/>
        <item x="412"/>
        <item x="71"/>
        <item x="422"/>
        <item x="205"/>
        <item x="484"/>
        <item x="148"/>
        <item x="109"/>
        <item x="311"/>
        <item x="317"/>
        <item x="9"/>
        <item x="423"/>
        <item x="91"/>
        <item x="180"/>
        <item x="407"/>
        <item x="190"/>
        <item x="349"/>
        <item x="448"/>
        <item x="483"/>
        <item x="290"/>
        <item x="175"/>
        <item x="56"/>
        <item x="434"/>
        <item x="334"/>
        <item x="226"/>
        <item x="96"/>
        <item x="225"/>
        <item x="26"/>
        <item x="202"/>
        <item x="194"/>
        <item x="195"/>
        <item x="41"/>
        <item x="380"/>
        <item x="450"/>
        <item x="418"/>
        <item x="312"/>
        <item x="49"/>
        <item x="7"/>
        <item x="152"/>
        <item x="475"/>
        <item x="154"/>
        <item x="278"/>
        <item x="235"/>
        <item x="458"/>
        <item x="481"/>
        <item x="85"/>
        <item x="470"/>
        <item x="361"/>
        <item x="259"/>
        <item x="464"/>
        <item x="443"/>
        <item x="25"/>
        <item x="192"/>
        <item x="323"/>
        <item x="275"/>
        <item x="23"/>
        <item x="390"/>
        <item x="18"/>
        <item x="200"/>
        <item x="110"/>
        <item x="77"/>
        <item x="403"/>
        <item x="162"/>
        <item x="115"/>
        <item x="98"/>
        <item x="342"/>
        <item x="176"/>
        <item x="356"/>
        <item x="193"/>
        <item x="42"/>
        <item x="55"/>
        <item x="299"/>
        <item x="353"/>
        <item x="246"/>
        <item x="121"/>
        <item x="426"/>
        <item x="314"/>
        <item x="37"/>
        <item x="348"/>
        <item x="300"/>
        <item x="451"/>
        <item x="139"/>
        <item x="294"/>
        <item x="155"/>
        <item x="199"/>
        <item x="234"/>
        <item x="287"/>
        <item x="240"/>
        <item x="12"/>
        <item x="62"/>
        <item x="338"/>
        <item x="489"/>
        <item x="33"/>
        <item x="209"/>
        <item x="336"/>
        <item x="16"/>
        <item x="335"/>
        <item x="438"/>
        <item x="355"/>
        <item x="445"/>
        <item x="478"/>
        <item x="107"/>
        <item x="253"/>
        <item x="417"/>
        <item x="46"/>
        <item x="57"/>
        <item x="269"/>
        <item x="333"/>
        <item x="268"/>
        <item x="257"/>
        <item x="437"/>
        <item x="168"/>
        <item x="39"/>
        <item x="36"/>
        <item x="149"/>
        <item x="303"/>
        <item x="99"/>
        <item x="398"/>
        <item x="105"/>
        <item x="17"/>
        <item x="112"/>
        <item x="137"/>
        <item x="0"/>
        <item x="133"/>
        <item x="497"/>
        <item x="229"/>
        <item x="13"/>
        <item x="158"/>
        <item x="129"/>
        <item x="463"/>
        <item x="173"/>
        <item x="395"/>
        <item x="315"/>
        <item x="160"/>
        <item x="324"/>
        <item x="498"/>
        <item x="493"/>
        <item x="345"/>
        <item x="48"/>
        <item x="106"/>
        <item x="455"/>
        <item x="369"/>
        <item x="60"/>
        <item x="295"/>
        <item x="394"/>
        <item x="228"/>
        <item x="125"/>
        <item x="178"/>
        <item x="236"/>
        <item x="332"/>
        <item x="371"/>
        <item x="156"/>
        <item x="196"/>
        <item x="144"/>
        <item x="439"/>
        <item x="122"/>
        <item x="230"/>
        <item x="270"/>
        <item x="306"/>
        <item x="266"/>
        <item x="347"/>
        <item x="27"/>
        <item x="425"/>
        <item x="218"/>
        <item x="337"/>
        <item x="211"/>
        <item x="254"/>
        <item x="262"/>
        <item x="327"/>
        <item x="325"/>
        <item x="219"/>
        <item x="3"/>
        <item x="183"/>
        <item x="165"/>
        <item x="400"/>
        <item x="61"/>
        <item x="123"/>
        <item x="494"/>
        <item x="210"/>
        <item x="163"/>
        <item x="169"/>
        <item x="19"/>
        <item x="177"/>
        <item x="108"/>
        <item x="265"/>
        <item x="252"/>
        <item x="283"/>
        <item x="182"/>
        <item x="207"/>
        <item x="59"/>
        <item x="143"/>
        <item x="217"/>
        <item x="223"/>
        <item x="248"/>
        <item x="14"/>
        <item x="469"/>
        <item x="495"/>
        <item x="381"/>
        <item x="428"/>
        <item x="197"/>
        <item x="65"/>
        <item x="63"/>
        <item x="280"/>
        <item x="170"/>
        <item x="220"/>
        <item x="454"/>
        <item x="466"/>
        <item x="145"/>
        <item x="87"/>
        <item x="171"/>
        <item x="284"/>
        <item x="420"/>
        <item x="316"/>
        <item x="164"/>
        <item x="104"/>
        <item x="113"/>
        <item x="111"/>
        <item x="231"/>
        <item x="499"/>
        <item x="382"/>
        <item x="409"/>
        <item x="40"/>
        <item x="274"/>
        <item x="383"/>
        <item x="243"/>
        <item x="159"/>
        <item x="11"/>
        <item x="310"/>
        <item x="376"/>
        <item x="103"/>
        <item x="385"/>
        <item x="1"/>
        <item x="375"/>
        <item x="244"/>
        <item x="68"/>
        <item x="440"/>
        <item x="397"/>
        <item x="465"/>
        <item x="6"/>
        <item x="132"/>
        <item x="406"/>
        <item x="8"/>
        <item x="222"/>
        <item x="44"/>
        <item x="93"/>
        <item x="131"/>
        <item x="293"/>
        <item x="387"/>
        <item x="86"/>
        <item x="54"/>
        <item x="479"/>
        <item x="441"/>
        <item x="432"/>
        <item x="117"/>
        <item x="43"/>
        <item x="486"/>
        <item x="427"/>
        <item x="424"/>
        <item x="146"/>
        <item x="288"/>
        <item x="308"/>
        <item x="297"/>
        <item x="366"/>
        <item x="233"/>
        <item x="404"/>
        <item x="127"/>
        <item x="358"/>
        <item x="326"/>
        <item x="444"/>
        <item x="364"/>
        <item x="391"/>
        <item x="51"/>
        <item x="82"/>
        <item x="346"/>
        <item x="24"/>
        <item x="296"/>
        <item x="413"/>
        <item x="477"/>
        <item x="271"/>
        <item x="208"/>
        <item x="359"/>
        <item x="232"/>
        <item x="490"/>
        <item x="482"/>
        <item x="340"/>
        <item x="415"/>
        <item x="118"/>
        <item x="53"/>
        <item x="150"/>
        <item x="343"/>
        <item x="487"/>
        <item x="301"/>
        <item x="242"/>
        <item x="90"/>
        <item x="362"/>
        <item x="203"/>
        <item x="35"/>
        <item x="256"/>
        <item x="408"/>
        <item x="78"/>
        <item x="421"/>
        <item x="258"/>
        <item x="79"/>
        <item x="241"/>
        <item x="142"/>
        <item x="21"/>
        <item x="97"/>
        <item x="282"/>
        <item x="471"/>
        <item x="277"/>
        <item x="372"/>
        <item x="399"/>
        <item x="430"/>
        <item x="468"/>
        <item x="119"/>
        <item x="167"/>
        <item x="488"/>
        <item x="245"/>
        <item x="10"/>
        <item x="386"/>
        <item x="172"/>
        <item x="313"/>
        <item x="136"/>
        <item x="429"/>
        <item x="100"/>
        <item x="473"/>
        <item x="249"/>
        <item x="476"/>
        <item x="75"/>
        <item x="34"/>
        <item x="496"/>
        <item x="461"/>
        <item x="189"/>
        <item x="30"/>
        <item x="360"/>
        <item x="307"/>
        <item x="472"/>
        <item x="480"/>
        <item x="292"/>
        <item x="350"/>
        <item x="161"/>
        <item x="410"/>
        <item x="449"/>
        <item x="80"/>
        <item x="318"/>
        <item x="114"/>
        <item x="238"/>
        <item x="414"/>
        <item x="341"/>
        <item x="116"/>
        <item x="474"/>
        <item x="4"/>
        <item x="153"/>
        <item x="365"/>
        <item x="305"/>
        <item x="370"/>
        <item x="204"/>
        <item x="367"/>
        <item x="72"/>
        <item x="206"/>
        <item x="264"/>
        <item x="373"/>
        <item x="320"/>
        <item x="273"/>
        <item x="198"/>
        <item x="74"/>
        <item x="31"/>
        <item x="442"/>
        <item x="285"/>
        <item x="453"/>
        <item x="260"/>
        <item x="267"/>
        <item x="73"/>
        <item x="52"/>
        <item x="101"/>
        <item x="130"/>
        <item x="191"/>
        <item x="452"/>
        <item x="216"/>
        <item x="15"/>
        <item x="84"/>
        <item x="330"/>
        <item x="255"/>
        <item x="402"/>
        <item x="436"/>
        <item x="184"/>
        <item x="462"/>
        <item x="396"/>
        <item x="185"/>
        <item x="251"/>
        <item x="141"/>
        <item x="363"/>
        <item x="447"/>
        <item x="393"/>
        <item x="214"/>
        <item x="352"/>
        <item x="224"/>
        <item x="291"/>
        <item x="247"/>
        <item x="401"/>
        <item x="92"/>
        <item x="491"/>
        <item x="88"/>
        <item x="120"/>
        <item x="431"/>
        <item x="281"/>
        <item x="201"/>
        <item x="50"/>
        <item x="124"/>
        <item x="328"/>
        <item x="28"/>
        <item x="389"/>
        <item x="368"/>
        <item x="179"/>
        <item x="181"/>
        <item t="default"/>
      </items>
    </pivotField>
    <pivotField showAll="0"/>
    <pivotField showAll="0"/>
    <pivotField showAll="0">
      <items count="6">
        <item x="1"/>
        <item x="4"/>
        <item x="0"/>
        <item x="2"/>
        <item x="3"/>
        <item t="default"/>
      </items>
    </pivotField>
    <pivotField numFmtId="14" showAll="0"/>
    <pivotField showAll="0">
      <items count="501">
        <item x="307"/>
        <item x="472"/>
        <item x="480"/>
        <item x="292"/>
        <item x="350"/>
        <item x="161"/>
        <item x="410"/>
        <item x="449"/>
        <item x="80"/>
        <item x="318"/>
        <item x="114"/>
        <item x="238"/>
        <item x="414"/>
        <item x="341"/>
        <item x="116"/>
        <item x="474"/>
        <item x="4"/>
        <item x="153"/>
        <item x="365"/>
        <item x="305"/>
        <item x="370"/>
        <item x="204"/>
        <item x="367"/>
        <item x="72"/>
        <item x="206"/>
        <item x="264"/>
        <item x="373"/>
        <item x="320"/>
        <item x="273"/>
        <item x="198"/>
        <item x="74"/>
        <item x="31"/>
        <item x="442"/>
        <item x="285"/>
        <item x="453"/>
        <item x="260"/>
        <item x="267"/>
        <item x="73"/>
        <item x="52"/>
        <item x="101"/>
        <item x="130"/>
        <item x="191"/>
        <item x="452"/>
        <item x="216"/>
        <item x="15"/>
        <item x="84"/>
        <item x="330"/>
        <item x="255"/>
        <item x="402"/>
        <item x="436"/>
        <item x="184"/>
        <item x="462"/>
        <item x="396"/>
        <item x="185"/>
        <item x="251"/>
        <item x="141"/>
        <item x="363"/>
        <item x="447"/>
        <item x="393"/>
        <item x="214"/>
        <item x="352"/>
        <item x="224"/>
        <item x="291"/>
        <item x="247"/>
        <item x="401"/>
        <item x="92"/>
        <item x="491"/>
        <item x="88"/>
        <item x="120"/>
        <item x="431"/>
        <item x="281"/>
        <item x="201"/>
        <item x="50"/>
        <item x="124"/>
        <item x="328"/>
        <item x="28"/>
        <item x="389"/>
        <item x="368"/>
        <item x="179"/>
        <item x="181"/>
        <item x="174"/>
        <item x="357"/>
        <item x="126"/>
        <item x="83"/>
        <item x="22"/>
        <item x="321"/>
        <item x="302"/>
        <item x="384"/>
        <item x="151"/>
        <item x="212"/>
        <item x="102"/>
        <item x="351"/>
        <item x="276"/>
        <item x="467"/>
        <item x="76"/>
        <item x="304"/>
        <item x="388"/>
        <item x="81"/>
        <item x="5"/>
        <item x="261"/>
        <item x="20"/>
        <item x="446"/>
        <item x="339"/>
        <item x="94"/>
        <item x="239"/>
        <item x="221"/>
        <item x="459"/>
        <item x="322"/>
        <item x="187"/>
        <item x="309"/>
        <item x="331"/>
        <item x="186"/>
        <item x="215"/>
        <item x="213"/>
        <item x="38"/>
        <item x="58"/>
        <item x="227"/>
        <item x="95"/>
        <item x="419"/>
        <item x="147"/>
        <item x="47"/>
        <item x="374"/>
        <item x="298"/>
        <item x="272"/>
        <item x="405"/>
        <item x="263"/>
        <item x="289"/>
        <item x="329"/>
        <item x="379"/>
        <item x="237"/>
        <item x="319"/>
        <item x="70"/>
        <item x="69"/>
        <item x="411"/>
        <item x="279"/>
        <item x="128"/>
        <item x="188"/>
        <item x="416"/>
        <item x="460"/>
        <item x="378"/>
        <item x="157"/>
        <item x="140"/>
        <item x="29"/>
        <item x="433"/>
        <item x="89"/>
        <item x="377"/>
        <item x="45"/>
        <item x="138"/>
        <item x="457"/>
        <item x="456"/>
        <item x="354"/>
        <item x="166"/>
        <item x="2"/>
        <item x="286"/>
        <item x="64"/>
        <item x="485"/>
        <item x="344"/>
        <item x="392"/>
        <item x="250"/>
        <item x="492"/>
        <item x="66"/>
        <item x="435"/>
        <item x="135"/>
        <item x="134"/>
        <item x="32"/>
        <item x="67"/>
        <item x="412"/>
        <item x="71"/>
        <item x="422"/>
        <item x="205"/>
        <item x="484"/>
        <item x="148"/>
        <item x="109"/>
        <item x="311"/>
        <item x="317"/>
        <item x="9"/>
        <item x="423"/>
        <item x="91"/>
        <item x="180"/>
        <item x="407"/>
        <item x="190"/>
        <item x="349"/>
        <item x="448"/>
        <item x="483"/>
        <item x="290"/>
        <item x="175"/>
        <item x="56"/>
        <item x="434"/>
        <item x="334"/>
        <item x="226"/>
        <item x="96"/>
        <item x="225"/>
        <item x="26"/>
        <item x="202"/>
        <item x="194"/>
        <item x="195"/>
        <item x="41"/>
        <item x="380"/>
        <item x="450"/>
        <item x="418"/>
        <item x="312"/>
        <item x="49"/>
        <item x="7"/>
        <item x="152"/>
        <item x="475"/>
        <item x="154"/>
        <item x="278"/>
        <item x="235"/>
        <item x="458"/>
        <item x="481"/>
        <item x="85"/>
        <item x="470"/>
        <item x="361"/>
        <item x="259"/>
        <item x="464"/>
        <item x="443"/>
        <item x="25"/>
        <item x="192"/>
        <item x="323"/>
        <item x="275"/>
        <item x="23"/>
        <item x="390"/>
        <item x="18"/>
        <item x="200"/>
        <item x="110"/>
        <item x="77"/>
        <item x="403"/>
        <item x="162"/>
        <item x="115"/>
        <item x="98"/>
        <item x="342"/>
        <item x="176"/>
        <item x="356"/>
        <item x="193"/>
        <item x="42"/>
        <item x="55"/>
        <item x="299"/>
        <item x="353"/>
        <item x="246"/>
        <item x="121"/>
        <item x="426"/>
        <item x="314"/>
        <item x="37"/>
        <item x="348"/>
        <item x="300"/>
        <item x="451"/>
        <item x="139"/>
        <item x="294"/>
        <item x="155"/>
        <item x="199"/>
        <item x="234"/>
        <item x="287"/>
        <item x="240"/>
        <item x="12"/>
        <item x="62"/>
        <item x="338"/>
        <item x="489"/>
        <item x="33"/>
        <item x="209"/>
        <item x="336"/>
        <item x="16"/>
        <item x="335"/>
        <item x="438"/>
        <item x="355"/>
        <item x="445"/>
        <item x="478"/>
        <item x="107"/>
        <item x="253"/>
        <item x="417"/>
        <item x="46"/>
        <item x="57"/>
        <item x="269"/>
        <item x="333"/>
        <item x="268"/>
        <item x="257"/>
        <item x="437"/>
        <item x="168"/>
        <item x="39"/>
        <item x="36"/>
        <item x="149"/>
        <item x="303"/>
        <item x="99"/>
        <item x="398"/>
        <item x="105"/>
        <item x="17"/>
        <item x="112"/>
        <item x="137"/>
        <item x="0"/>
        <item x="133"/>
        <item x="497"/>
        <item x="229"/>
        <item x="13"/>
        <item x="158"/>
        <item x="129"/>
        <item x="463"/>
        <item x="173"/>
        <item x="395"/>
        <item x="315"/>
        <item x="160"/>
        <item x="324"/>
        <item x="498"/>
        <item x="493"/>
        <item x="345"/>
        <item x="48"/>
        <item x="106"/>
        <item x="455"/>
        <item x="369"/>
        <item x="60"/>
        <item x="295"/>
        <item x="394"/>
        <item x="228"/>
        <item x="125"/>
        <item x="178"/>
        <item x="236"/>
        <item x="332"/>
        <item x="371"/>
        <item x="156"/>
        <item x="196"/>
        <item x="144"/>
        <item x="439"/>
        <item x="122"/>
        <item x="230"/>
        <item x="270"/>
        <item x="306"/>
        <item x="266"/>
        <item x="347"/>
        <item x="27"/>
        <item x="425"/>
        <item x="218"/>
        <item x="337"/>
        <item x="211"/>
        <item x="254"/>
        <item x="262"/>
        <item x="327"/>
        <item x="325"/>
        <item x="219"/>
        <item x="3"/>
        <item x="183"/>
        <item x="165"/>
        <item x="400"/>
        <item x="61"/>
        <item x="123"/>
        <item x="494"/>
        <item x="210"/>
        <item x="163"/>
        <item x="169"/>
        <item x="19"/>
        <item x="177"/>
        <item x="108"/>
        <item x="265"/>
        <item x="252"/>
        <item x="283"/>
        <item x="182"/>
        <item x="207"/>
        <item x="59"/>
        <item x="143"/>
        <item x="217"/>
        <item x="223"/>
        <item x="248"/>
        <item x="14"/>
        <item x="469"/>
        <item x="495"/>
        <item x="381"/>
        <item x="428"/>
        <item x="197"/>
        <item x="65"/>
        <item x="63"/>
        <item x="280"/>
        <item x="170"/>
        <item x="220"/>
        <item x="454"/>
        <item x="466"/>
        <item x="145"/>
        <item x="87"/>
        <item x="171"/>
        <item x="284"/>
        <item x="420"/>
        <item x="316"/>
        <item x="164"/>
        <item x="104"/>
        <item x="113"/>
        <item x="111"/>
        <item x="231"/>
        <item x="499"/>
        <item x="382"/>
        <item x="409"/>
        <item x="40"/>
        <item x="274"/>
        <item x="383"/>
        <item x="243"/>
        <item x="159"/>
        <item x="11"/>
        <item x="310"/>
        <item x="376"/>
        <item x="103"/>
        <item x="385"/>
        <item x="1"/>
        <item x="375"/>
        <item x="244"/>
        <item x="68"/>
        <item x="440"/>
        <item x="397"/>
        <item x="465"/>
        <item x="6"/>
        <item x="132"/>
        <item x="406"/>
        <item x="8"/>
        <item x="222"/>
        <item x="44"/>
        <item x="93"/>
        <item x="131"/>
        <item x="293"/>
        <item x="387"/>
        <item x="86"/>
        <item x="54"/>
        <item x="479"/>
        <item x="441"/>
        <item x="432"/>
        <item x="117"/>
        <item x="43"/>
        <item x="486"/>
        <item x="427"/>
        <item x="424"/>
        <item x="146"/>
        <item x="288"/>
        <item x="308"/>
        <item x="297"/>
        <item x="366"/>
        <item x="233"/>
        <item x="404"/>
        <item x="127"/>
        <item x="358"/>
        <item x="326"/>
        <item x="444"/>
        <item x="364"/>
        <item x="391"/>
        <item x="51"/>
        <item x="82"/>
        <item x="346"/>
        <item x="24"/>
        <item x="296"/>
        <item x="413"/>
        <item x="477"/>
        <item x="271"/>
        <item x="208"/>
        <item x="359"/>
        <item x="232"/>
        <item x="490"/>
        <item x="482"/>
        <item x="340"/>
        <item x="415"/>
        <item x="118"/>
        <item x="53"/>
        <item x="150"/>
        <item x="343"/>
        <item x="487"/>
        <item x="301"/>
        <item x="242"/>
        <item x="90"/>
        <item x="362"/>
        <item x="203"/>
        <item x="35"/>
        <item x="256"/>
        <item x="408"/>
        <item x="78"/>
        <item x="421"/>
        <item x="258"/>
        <item x="79"/>
        <item x="241"/>
        <item x="142"/>
        <item x="21"/>
        <item x="97"/>
        <item x="282"/>
        <item x="471"/>
        <item x="277"/>
        <item x="372"/>
        <item x="399"/>
        <item x="430"/>
        <item x="468"/>
        <item x="119"/>
        <item x="167"/>
        <item x="488"/>
        <item x="245"/>
        <item x="10"/>
        <item x="386"/>
        <item x="172"/>
        <item x="313"/>
        <item x="136"/>
        <item x="429"/>
        <item x="100"/>
        <item x="473"/>
        <item x="249"/>
        <item x="476"/>
        <item x="75"/>
        <item x="34"/>
        <item x="496"/>
        <item x="461"/>
        <item x="189"/>
        <item x="30"/>
        <item x="360"/>
        <item t="default"/>
      </items>
    </pivotField>
    <pivotField numFmtId="14" showAll="0"/>
    <pivotField axis="axisRow" showAll="0">
      <items count="6">
        <item x="1"/>
        <item x="4"/>
        <item x="0"/>
        <item x="2"/>
        <item x="3"/>
        <item t="default"/>
      </items>
    </pivotField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numFmtId="14"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0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C78D6-0E6B-4D11-85B0-7D43DB2D7CD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4" firstHeaderRow="1" firstDataRow="1" firstDataCol="1"/>
  <pivotFields count="21">
    <pivotField showAll="0">
      <items count="501">
        <item x="174"/>
        <item x="357"/>
        <item x="126"/>
        <item x="83"/>
        <item x="22"/>
        <item x="321"/>
        <item x="302"/>
        <item x="384"/>
        <item x="151"/>
        <item x="212"/>
        <item x="102"/>
        <item x="351"/>
        <item x="276"/>
        <item x="467"/>
        <item x="76"/>
        <item x="304"/>
        <item x="388"/>
        <item x="81"/>
        <item x="5"/>
        <item x="261"/>
        <item x="20"/>
        <item x="446"/>
        <item x="339"/>
        <item x="94"/>
        <item x="239"/>
        <item x="221"/>
        <item x="459"/>
        <item x="322"/>
        <item x="187"/>
        <item x="309"/>
        <item x="331"/>
        <item x="186"/>
        <item x="215"/>
        <item x="213"/>
        <item x="38"/>
        <item x="58"/>
        <item x="227"/>
        <item x="95"/>
        <item x="419"/>
        <item x="147"/>
        <item x="47"/>
        <item x="374"/>
        <item x="298"/>
        <item x="272"/>
        <item x="405"/>
        <item x="263"/>
        <item x="289"/>
        <item x="329"/>
        <item x="379"/>
        <item x="237"/>
        <item x="319"/>
        <item x="70"/>
        <item x="69"/>
        <item x="411"/>
        <item x="279"/>
        <item x="128"/>
        <item x="188"/>
        <item x="416"/>
        <item x="460"/>
        <item x="378"/>
        <item x="157"/>
        <item x="140"/>
        <item x="29"/>
        <item x="433"/>
        <item x="89"/>
        <item x="377"/>
        <item x="45"/>
        <item x="138"/>
        <item x="457"/>
        <item x="456"/>
        <item x="354"/>
        <item x="166"/>
        <item x="2"/>
        <item x="286"/>
        <item x="64"/>
        <item x="485"/>
        <item x="344"/>
        <item x="392"/>
        <item x="250"/>
        <item x="492"/>
        <item x="66"/>
        <item x="435"/>
        <item x="135"/>
        <item x="134"/>
        <item x="32"/>
        <item x="67"/>
        <item x="412"/>
        <item x="71"/>
        <item x="422"/>
        <item x="205"/>
        <item x="484"/>
        <item x="148"/>
        <item x="109"/>
        <item x="311"/>
        <item x="317"/>
        <item x="9"/>
        <item x="423"/>
        <item x="91"/>
        <item x="180"/>
        <item x="407"/>
        <item x="190"/>
        <item x="349"/>
        <item x="448"/>
        <item x="483"/>
        <item x="290"/>
        <item x="175"/>
        <item x="56"/>
        <item x="434"/>
        <item x="334"/>
        <item x="226"/>
        <item x="96"/>
        <item x="225"/>
        <item x="26"/>
        <item x="202"/>
        <item x="194"/>
        <item x="195"/>
        <item x="41"/>
        <item x="380"/>
        <item x="450"/>
        <item x="418"/>
        <item x="312"/>
        <item x="49"/>
        <item x="7"/>
        <item x="152"/>
        <item x="475"/>
        <item x="154"/>
        <item x="278"/>
        <item x="235"/>
        <item x="458"/>
        <item x="481"/>
        <item x="85"/>
        <item x="470"/>
        <item x="361"/>
        <item x="259"/>
        <item x="464"/>
        <item x="443"/>
        <item x="25"/>
        <item x="192"/>
        <item x="323"/>
        <item x="275"/>
        <item x="23"/>
        <item x="390"/>
        <item x="18"/>
        <item x="200"/>
        <item x="110"/>
        <item x="77"/>
        <item x="403"/>
        <item x="162"/>
        <item x="115"/>
        <item x="98"/>
        <item x="342"/>
        <item x="176"/>
        <item x="356"/>
        <item x="193"/>
        <item x="42"/>
        <item x="55"/>
        <item x="299"/>
        <item x="353"/>
        <item x="246"/>
        <item x="121"/>
        <item x="426"/>
        <item x="314"/>
        <item x="37"/>
        <item x="348"/>
        <item x="300"/>
        <item x="451"/>
        <item x="139"/>
        <item x="294"/>
        <item x="155"/>
        <item x="199"/>
        <item x="234"/>
        <item x="287"/>
        <item x="240"/>
        <item x="12"/>
        <item x="62"/>
        <item x="338"/>
        <item x="489"/>
        <item x="33"/>
        <item x="209"/>
        <item x="336"/>
        <item x="16"/>
        <item x="335"/>
        <item x="438"/>
        <item x="355"/>
        <item x="445"/>
        <item x="478"/>
        <item x="107"/>
        <item x="253"/>
        <item x="417"/>
        <item x="46"/>
        <item x="57"/>
        <item x="269"/>
        <item x="333"/>
        <item x="268"/>
        <item x="257"/>
        <item x="437"/>
        <item x="168"/>
        <item x="39"/>
        <item x="36"/>
        <item x="149"/>
        <item x="303"/>
        <item x="99"/>
        <item x="398"/>
        <item x="105"/>
        <item x="17"/>
        <item x="112"/>
        <item x="137"/>
        <item x="0"/>
        <item x="133"/>
        <item x="497"/>
        <item x="229"/>
        <item x="13"/>
        <item x="158"/>
        <item x="129"/>
        <item x="463"/>
        <item x="173"/>
        <item x="395"/>
        <item x="315"/>
        <item x="160"/>
        <item x="324"/>
        <item x="498"/>
        <item x="493"/>
        <item x="345"/>
        <item x="48"/>
        <item x="106"/>
        <item x="455"/>
        <item x="369"/>
        <item x="60"/>
        <item x="295"/>
        <item x="394"/>
        <item x="228"/>
        <item x="125"/>
        <item x="178"/>
        <item x="236"/>
        <item x="332"/>
        <item x="371"/>
        <item x="156"/>
        <item x="196"/>
        <item x="144"/>
        <item x="439"/>
        <item x="122"/>
        <item x="230"/>
        <item x="270"/>
        <item x="306"/>
        <item x="266"/>
        <item x="347"/>
        <item x="27"/>
        <item x="425"/>
        <item x="218"/>
        <item x="337"/>
        <item x="211"/>
        <item x="254"/>
        <item x="262"/>
        <item x="327"/>
        <item x="325"/>
        <item x="219"/>
        <item x="3"/>
        <item x="183"/>
        <item x="165"/>
        <item x="400"/>
        <item x="61"/>
        <item x="123"/>
        <item x="494"/>
        <item x="210"/>
        <item x="163"/>
        <item x="169"/>
        <item x="19"/>
        <item x="177"/>
        <item x="108"/>
        <item x="265"/>
        <item x="252"/>
        <item x="283"/>
        <item x="182"/>
        <item x="207"/>
        <item x="59"/>
        <item x="143"/>
        <item x="217"/>
        <item x="223"/>
        <item x="248"/>
        <item x="14"/>
        <item x="469"/>
        <item x="495"/>
        <item x="381"/>
        <item x="428"/>
        <item x="197"/>
        <item x="65"/>
        <item x="63"/>
        <item x="280"/>
        <item x="170"/>
        <item x="220"/>
        <item x="454"/>
        <item x="466"/>
        <item x="145"/>
        <item x="87"/>
        <item x="171"/>
        <item x="284"/>
        <item x="420"/>
        <item x="316"/>
        <item x="164"/>
        <item x="104"/>
        <item x="113"/>
        <item x="111"/>
        <item x="231"/>
        <item x="499"/>
        <item x="382"/>
        <item x="409"/>
        <item x="40"/>
        <item x="274"/>
        <item x="383"/>
        <item x="243"/>
        <item x="159"/>
        <item x="11"/>
        <item x="310"/>
        <item x="376"/>
        <item x="103"/>
        <item x="385"/>
        <item x="1"/>
        <item x="375"/>
        <item x="244"/>
        <item x="68"/>
        <item x="440"/>
        <item x="397"/>
        <item x="465"/>
        <item x="6"/>
        <item x="132"/>
        <item x="406"/>
        <item x="8"/>
        <item x="222"/>
        <item x="44"/>
        <item x="93"/>
        <item x="131"/>
        <item x="293"/>
        <item x="387"/>
        <item x="86"/>
        <item x="54"/>
        <item x="479"/>
        <item x="441"/>
        <item x="432"/>
        <item x="117"/>
        <item x="43"/>
        <item x="486"/>
        <item x="427"/>
        <item x="424"/>
        <item x="146"/>
        <item x="288"/>
        <item x="308"/>
        <item x="297"/>
        <item x="366"/>
        <item x="233"/>
        <item x="404"/>
        <item x="127"/>
        <item x="358"/>
        <item x="326"/>
        <item x="444"/>
        <item x="364"/>
        <item x="391"/>
        <item x="51"/>
        <item x="82"/>
        <item x="346"/>
        <item x="24"/>
        <item x="296"/>
        <item x="413"/>
        <item x="477"/>
        <item x="271"/>
        <item x="208"/>
        <item x="359"/>
        <item x="232"/>
        <item x="490"/>
        <item x="482"/>
        <item x="340"/>
        <item x="415"/>
        <item x="118"/>
        <item x="53"/>
        <item x="150"/>
        <item x="343"/>
        <item x="487"/>
        <item x="301"/>
        <item x="242"/>
        <item x="90"/>
        <item x="362"/>
        <item x="203"/>
        <item x="35"/>
        <item x="256"/>
        <item x="408"/>
        <item x="78"/>
        <item x="421"/>
        <item x="258"/>
        <item x="79"/>
        <item x="241"/>
        <item x="142"/>
        <item x="21"/>
        <item x="97"/>
        <item x="282"/>
        <item x="471"/>
        <item x="277"/>
        <item x="372"/>
        <item x="399"/>
        <item x="430"/>
        <item x="468"/>
        <item x="119"/>
        <item x="167"/>
        <item x="488"/>
        <item x="245"/>
        <item x="10"/>
        <item x="386"/>
        <item x="172"/>
        <item x="313"/>
        <item x="136"/>
        <item x="429"/>
        <item x="100"/>
        <item x="473"/>
        <item x="249"/>
        <item x="476"/>
        <item x="75"/>
        <item x="34"/>
        <item x="496"/>
        <item x="461"/>
        <item x="189"/>
        <item x="30"/>
        <item x="360"/>
        <item x="307"/>
        <item x="472"/>
        <item x="480"/>
        <item x="292"/>
        <item x="350"/>
        <item x="161"/>
        <item x="410"/>
        <item x="449"/>
        <item x="80"/>
        <item x="318"/>
        <item x="114"/>
        <item x="238"/>
        <item x="414"/>
        <item x="341"/>
        <item x="116"/>
        <item x="474"/>
        <item x="4"/>
        <item x="153"/>
        <item x="365"/>
        <item x="305"/>
        <item x="370"/>
        <item x="204"/>
        <item x="367"/>
        <item x="72"/>
        <item x="206"/>
        <item x="264"/>
        <item x="373"/>
        <item x="320"/>
        <item x="273"/>
        <item x="198"/>
        <item x="74"/>
        <item x="31"/>
        <item x="442"/>
        <item x="285"/>
        <item x="453"/>
        <item x="260"/>
        <item x="267"/>
        <item x="73"/>
        <item x="52"/>
        <item x="101"/>
        <item x="130"/>
        <item x="191"/>
        <item x="452"/>
        <item x="216"/>
        <item x="15"/>
        <item x="84"/>
        <item x="330"/>
        <item x="255"/>
        <item x="402"/>
        <item x="436"/>
        <item x="184"/>
        <item x="462"/>
        <item x="396"/>
        <item x="185"/>
        <item x="251"/>
        <item x="141"/>
        <item x="363"/>
        <item x="447"/>
        <item x="393"/>
        <item x="214"/>
        <item x="352"/>
        <item x="224"/>
        <item x="291"/>
        <item x="247"/>
        <item x="401"/>
        <item x="92"/>
        <item x="491"/>
        <item x="88"/>
        <item x="120"/>
        <item x="431"/>
        <item x="281"/>
        <item x="201"/>
        <item x="50"/>
        <item x="124"/>
        <item x="328"/>
        <item x="28"/>
        <item x="389"/>
        <item x="368"/>
        <item x="179"/>
        <item x="181"/>
        <item t="default"/>
      </items>
    </pivotField>
    <pivotField showAll="0"/>
    <pivotField showAll="0"/>
    <pivotField showAll="0">
      <items count="6">
        <item x="1"/>
        <item x="4"/>
        <item x="0"/>
        <item x="2"/>
        <item x="3"/>
        <item t="default"/>
      </items>
    </pivotField>
    <pivotField numFmtId="14" showAll="0"/>
    <pivotField showAll="0">
      <items count="501">
        <item x="307"/>
        <item x="472"/>
        <item x="480"/>
        <item x="292"/>
        <item x="350"/>
        <item x="161"/>
        <item x="410"/>
        <item x="449"/>
        <item x="80"/>
        <item x="318"/>
        <item x="114"/>
        <item x="238"/>
        <item x="414"/>
        <item x="341"/>
        <item x="116"/>
        <item x="474"/>
        <item x="4"/>
        <item x="153"/>
        <item x="365"/>
        <item x="305"/>
        <item x="370"/>
        <item x="204"/>
        <item x="367"/>
        <item x="72"/>
        <item x="206"/>
        <item x="264"/>
        <item x="373"/>
        <item x="320"/>
        <item x="273"/>
        <item x="198"/>
        <item x="74"/>
        <item x="31"/>
        <item x="442"/>
        <item x="285"/>
        <item x="453"/>
        <item x="260"/>
        <item x="267"/>
        <item x="73"/>
        <item x="52"/>
        <item x="101"/>
        <item x="130"/>
        <item x="191"/>
        <item x="452"/>
        <item x="216"/>
        <item x="15"/>
        <item x="84"/>
        <item x="330"/>
        <item x="255"/>
        <item x="402"/>
        <item x="436"/>
        <item x="184"/>
        <item x="462"/>
        <item x="396"/>
        <item x="185"/>
        <item x="251"/>
        <item x="141"/>
        <item x="363"/>
        <item x="447"/>
        <item x="393"/>
        <item x="214"/>
        <item x="352"/>
        <item x="224"/>
        <item x="291"/>
        <item x="247"/>
        <item x="401"/>
        <item x="92"/>
        <item x="491"/>
        <item x="88"/>
        <item x="120"/>
        <item x="431"/>
        <item x="281"/>
        <item x="201"/>
        <item x="50"/>
        <item x="124"/>
        <item x="328"/>
        <item x="28"/>
        <item x="389"/>
        <item x="368"/>
        <item x="179"/>
        <item x="181"/>
        <item x="174"/>
        <item x="357"/>
        <item x="126"/>
        <item x="83"/>
        <item x="22"/>
        <item x="321"/>
        <item x="302"/>
        <item x="384"/>
        <item x="151"/>
        <item x="212"/>
        <item x="102"/>
        <item x="351"/>
        <item x="276"/>
        <item x="467"/>
        <item x="76"/>
        <item x="304"/>
        <item x="388"/>
        <item x="81"/>
        <item x="5"/>
        <item x="261"/>
        <item x="20"/>
        <item x="446"/>
        <item x="339"/>
        <item x="94"/>
        <item x="239"/>
        <item x="221"/>
        <item x="459"/>
        <item x="322"/>
        <item x="187"/>
        <item x="309"/>
        <item x="331"/>
        <item x="186"/>
        <item x="215"/>
        <item x="213"/>
        <item x="38"/>
        <item x="58"/>
        <item x="227"/>
        <item x="95"/>
        <item x="419"/>
        <item x="147"/>
        <item x="47"/>
        <item x="374"/>
        <item x="298"/>
        <item x="272"/>
        <item x="405"/>
        <item x="263"/>
        <item x="289"/>
        <item x="329"/>
        <item x="379"/>
        <item x="237"/>
        <item x="319"/>
        <item x="70"/>
        <item x="69"/>
        <item x="411"/>
        <item x="279"/>
        <item x="128"/>
        <item x="188"/>
        <item x="416"/>
        <item x="460"/>
        <item x="378"/>
        <item x="157"/>
        <item x="140"/>
        <item x="29"/>
        <item x="433"/>
        <item x="89"/>
        <item x="377"/>
        <item x="45"/>
        <item x="138"/>
        <item x="457"/>
        <item x="456"/>
        <item x="354"/>
        <item x="166"/>
        <item x="2"/>
        <item x="286"/>
        <item x="64"/>
        <item x="485"/>
        <item x="344"/>
        <item x="392"/>
        <item x="250"/>
        <item x="492"/>
        <item x="66"/>
        <item x="435"/>
        <item x="135"/>
        <item x="134"/>
        <item x="32"/>
        <item x="67"/>
        <item x="412"/>
        <item x="71"/>
        <item x="422"/>
        <item x="205"/>
        <item x="484"/>
        <item x="148"/>
        <item x="109"/>
        <item x="311"/>
        <item x="317"/>
        <item x="9"/>
        <item x="423"/>
        <item x="91"/>
        <item x="180"/>
        <item x="407"/>
        <item x="190"/>
        <item x="349"/>
        <item x="448"/>
        <item x="483"/>
        <item x="290"/>
        <item x="175"/>
        <item x="56"/>
        <item x="434"/>
        <item x="334"/>
        <item x="226"/>
        <item x="96"/>
        <item x="225"/>
        <item x="26"/>
        <item x="202"/>
        <item x="194"/>
        <item x="195"/>
        <item x="41"/>
        <item x="380"/>
        <item x="450"/>
        <item x="418"/>
        <item x="312"/>
        <item x="49"/>
        <item x="7"/>
        <item x="152"/>
        <item x="475"/>
        <item x="154"/>
        <item x="278"/>
        <item x="235"/>
        <item x="458"/>
        <item x="481"/>
        <item x="85"/>
        <item x="470"/>
        <item x="361"/>
        <item x="259"/>
        <item x="464"/>
        <item x="443"/>
        <item x="25"/>
        <item x="192"/>
        <item x="323"/>
        <item x="275"/>
        <item x="23"/>
        <item x="390"/>
        <item x="18"/>
        <item x="200"/>
        <item x="110"/>
        <item x="77"/>
        <item x="403"/>
        <item x="162"/>
        <item x="115"/>
        <item x="98"/>
        <item x="342"/>
        <item x="176"/>
        <item x="356"/>
        <item x="193"/>
        <item x="42"/>
        <item x="55"/>
        <item x="299"/>
        <item x="353"/>
        <item x="246"/>
        <item x="121"/>
        <item x="426"/>
        <item x="314"/>
        <item x="37"/>
        <item x="348"/>
        <item x="300"/>
        <item x="451"/>
        <item x="139"/>
        <item x="294"/>
        <item x="155"/>
        <item x="199"/>
        <item x="234"/>
        <item x="287"/>
        <item x="240"/>
        <item x="12"/>
        <item x="62"/>
        <item x="338"/>
        <item x="489"/>
        <item x="33"/>
        <item x="209"/>
        <item x="336"/>
        <item x="16"/>
        <item x="335"/>
        <item x="438"/>
        <item x="355"/>
        <item x="445"/>
        <item x="478"/>
        <item x="107"/>
        <item x="253"/>
        <item x="417"/>
        <item x="46"/>
        <item x="57"/>
        <item x="269"/>
        <item x="333"/>
        <item x="268"/>
        <item x="257"/>
        <item x="437"/>
        <item x="168"/>
        <item x="39"/>
        <item x="36"/>
        <item x="149"/>
        <item x="303"/>
        <item x="99"/>
        <item x="398"/>
        <item x="105"/>
        <item x="17"/>
        <item x="112"/>
        <item x="137"/>
        <item x="0"/>
        <item x="133"/>
        <item x="497"/>
        <item x="229"/>
        <item x="13"/>
        <item x="158"/>
        <item x="129"/>
        <item x="463"/>
        <item x="173"/>
        <item x="395"/>
        <item x="315"/>
        <item x="160"/>
        <item x="324"/>
        <item x="498"/>
        <item x="493"/>
        <item x="345"/>
        <item x="48"/>
        <item x="106"/>
        <item x="455"/>
        <item x="369"/>
        <item x="60"/>
        <item x="295"/>
        <item x="394"/>
        <item x="228"/>
        <item x="125"/>
        <item x="178"/>
        <item x="236"/>
        <item x="332"/>
        <item x="371"/>
        <item x="156"/>
        <item x="196"/>
        <item x="144"/>
        <item x="439"/>
        <item x="122"/>
        <item x="230"/>
        <item x="270"/>
        <item x="306"/>
        <item x="266"/>
        <item x="347"/>
        <item x="27"/>
        <item x="425"/>
        <item x="218"/>
        <item x="337"/>
        <item x="211"/>
        <item x="254"/>
        <item x="262"/>
        <item x="327"/>
        <item x="325"/>
        <item x="219"/>
        <item x="3"/>
        <item x="183"/>
        <item x="165"/>
        <item x="400"/>
        <item x="61"/>
        <item x="123"/>
        <item x="494"/>
        <item x="210"/>
        <item x="163"/>
        <item x="169"/>
        <item x="19"/>
        <item x="177"/>
        <item x="108"/>
        <item x="265"/>
        <item x="252"/>
        <item x="283"/>
        <item x="182"/>
        <item x="207"/>
        <item x="59"/>
        <item x="143"/>
        <item x="217"/>
        <item x="223"/>
        <item x="248"/>
        <item x="14"/>
        <item x="469"/>
        <item x="495"/>
        <item x="381"/>
        <item x="428"/>
        <item x="197"/>
        <item x="65"/>
        <item x="63"/>
        <item x="280"/>
        <item x="170"/>
        <item x="220"/>
        <item x="454"/>
        <item x="466"/>
        <item x="145"/>
        <item x="87"/>
        <item x="171"/>
        <item x="284"/>
        <item x="420"/>
        <item x="316"/>
        <item x="164"/>
        <item x="104"/>
        <item x="113"/>
        <item x="111"/>
        <item x="231"/>
        <item x="499"/>
        <item x="382"/>
        <item x="409"/>
        <item x="40"/>
        <item x="274"/>
        <item x="383"/>
        <item x="243"/>
        <item x="159"/>
        <item x="11"/>
        <item x="310"/>
        <item x="376"/>
        <item x="103"/>
        <item x="385"/>
        <item x="1"/>
        <item x="375"/>
        <item x="244"/>
        <item x="68"/>
        <item x="440"/>
        <item x="397"/>
        <item x="465"/>
        <item x="6"/>
        <item x="132"/>
        <item x="406"/>
        <item x="8"/>
        <item x="222"/>
        <item x="44"/>
        <item x="93"/>
        <item x="131"/>
        <item x="293"/>
        <item x="387"/>
        <item x="86"/>
        <item x="54"/>
        <item x="479"/>
        <item x="441"/>
        <item x="432"/>
        <item x="117"/>
        <item x="43"/>
        <item x="486"/>
        <item x="427"/>
        <item x="424"/>
        <item x="146"/>
        <item x="288"/>
        <item x="308"/>
        <item x="297"/>
        <item x="366"/>
        <item x="233"/>
        <item x="404"/>
        <item x="127"/>
        <item x="358"/>
        <item x="326"/>
        <item x="444"/>
        <item x="364"/>
        <item x="391"/>
        <item x="51"/>
        <item x="82"/>
        <item x="346"/>
        <item x="24"/>
        <item x="296"/>
        <item x="413"/>
        <item x="477"/>
        <item x="271"/>
        <item x="208"/>
        <item x="359"/>
        <item x="232"/>
        <item x="490"/>
        <item x="482"/>
        <item x="340"/>
        <item x="415"/>
        <item x="118"/>
        <item x="53"/>
        <item x="150"/>
        <item x="343"/>
        <item x="487"/>
        <item x="301"/>
        <item x="242"/>
        <item x="90"/>
        <item x="362"/>
        <item x="203"/>
        <item x="35"/>
        <item x="256"/>
        <item x="408"/>
        <item x="78"/>
        <item x="421"/>
        <item x="258"/>
        <item x="79"/>
        <item x="241"/>
        <item x="142"/>
        <item x="21"/>
        <item x="97"/>
        <item x="282"/>
        <item x="471"/>
        <item x="277"/>
        <item x="372"/>
        <item x="399"/>
        <item x="430"/>
        <item x="468"/>
        <item x="119"/>
        <item x="167"/>
        <item x="488"/>
        <item x="245"/>
        <item x="10"/>
        <item x="386"/>
        <item x="172"/>
        <item x="313"/>
        <item x="136"/>
        <item x="429"/>
        <item x="100"/>
        <item x="473"/>
        <item x="249"/>
        <item x="476"/>
        <item x="75"/>
        <item x="34"/>
        <item x="496"/>
        <item x="461"/>
        <item x="189"/>
        <item x="30"/>
        <item x="360"/>
        <item t="default"/>
      </items>
    </pivotField>
    <pivotField numFmtId="14" showAll="0"/>
    <pivotField showAll="0">
      <items count="6">
        <item x="1"/>
        <item x="4"/>
        <item x="0"/>
        <item x="2"/>
        <item x="3"/>
        <item t="default"/>
      </items>
    </pivotField>
    <pivotField showAll="0"/>
    <pivotField axis="axisRow" showAll="0">
      <items count="6">
        <item x="0"/>
        <item x="4"/>
        <item x="3"/>
        <item x="2"/>
        <item x="1"/>
        <item t="default"/>
      </items>
    </pivotField>
    <pivotField dataField="1" showAll="0"/>
    <pivotField showAll="0"/>
    <pivotField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numFmtId="14"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10" baseField="0" baseItem="0"/>
  </dataFields>
  <formats count="2">
    <format dxfId="7">
      <pivotArea outline="0" collapsedLevelsAreSubtotals="1" fieldPosition="0"/>
    </format>
    <format dxfId="0">
      <pivotArea collapsedLevelsAreSubtotals="1" fieldPosition="0">
        <references count="1"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BE5AE-BC98-4587-BC4D-94FF544F7D9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0" firstHeaderRow="1" firstDataRow="1" firstDataCol="1"/>
  <pivotFields count="21">
    <pivotField showAll="0"/>
    <pivotField showAll="0"/>
    <pivotField showAll="0"/>
    <pivotField showAll="0">
      <items count="6">
        <item x="1"/>
        <item x="4"/>
        <item x="0"/>
        <item x="2"/>
        <item x="3"/>
        <item t="default"/>
      </items>
    </pivotField>
    <pivotField numFmtId="14" showAll="0"/>
    <pivotField dataField="1" showAll="0">
      <items count="501">
        <item x="307"/>
        <item x="472"/>
        <item x="480"/>
        <item x="292"/>
        <item x="350"/>
        <item x="161"/>
        <item x="410"/>
        <item x="449"/>
        <item x="80"/>
        <item x="318"/>
        <item x="114"/>
        <item x="238"/>
        <item x="414"/>
        <item x="341"/>
        <item x="116"/>
        <item x="474"/>
        <item x="4"/>
        <item x="153"/>
        <item x="365"/>
        <item x="305"/>
        <item x="370"/>
        <item x="204"/>
        <item x="367"/>
        <item x="72"/>
        <item x="206"/>
        <item x="264"/>
        <item x="373"/>
        <item x="320"/>
        <item x="273"/>
        <item x="198"/>
        <item x="74"/>
        <item x="31"/>
        <item x="442"/>
        <item x="285"/>
        <item x="453"/>
        <item x="260"/>
        <item x="267"/>
        <item x="73"/>
        <item x="52"/>
        <item x="101"/>
        <item x="130"/>
        <item x="191"/>
        <item x="452"/>
        <item x="216"/>
        <item x="15"/>
        <item x="84"/>
        <item x="330"/>
        <item x="255"/>
        <item x="402"/>
        <item x="436"/>
        <item x="184"/>
        <item x="462"/>
        <item x="396"/>
        <item x="185"/>
        <item x="251"/>
        <item x="141"/>
        <item x="363"/>
        <item x="447"/>
        <item x="393"/>
        <item x="214"/>
        <item x="352"/>
        <item x="224"/>
        <item x="291"/>
        <item x="247"/>
        <item x="401"/>
        <item x="92"/>
        <item x="491"/>
        <item x="88"/>
        <item x="120"/>
        <item x="431"/>
        <item x="281"/>
        <item x="201"/>
        <item x="50"/>
        <item x="124"/>
        <item x="328"/>
        <item x="28"/>
        <item x="389"/>
        <item x="368"/>
        <item x="179"/>
        <item x="181"/>
        <item x="174"/>
        <item x="357"/>
        <item x="126"/>
        <item x="83"/>
        <item x="22"/>
        <item x="321"/>
        <item x="302"/>
        <item x="384"/>
        <item x="151"/>
        <item x="212"/>
        <item x="102"/>
        <item x="351"/>
        <item x="276"/>
        <item x="467"/>
        <item x="76"/>
        <item x="304"/>
        <item x="388"/>
        <item x="81"/>
        <item x="5"/>
        <item x="261"/>
        <item x="20"/>
        <item x="446"/>
        <item x="339"/>
        <item x="94"/>
        <item x="239"/>
        <item x="221"/>
        <item x="459"/>
        <item x="322"/>
        <item x="187"/>
        <item x="309"/>
        <item x="331"/>
        <item x="186"/>
        <item x="215"/>
        <item x="213"/>
        <item x="38"/>
        <item x="58"/>
        <item x="227"/>
        <item x="95"/>
        <item x="419"/>
        <item x="147"/>
        <item x="47"/>
        <item x="374"/>
        <item x="298"/>
        <item x="272"/>
        <item x="405"/>
        <item x="263"/>
        <item x="289"/>
        <item x="329"/>
        <item x="379"/>
        <item x="237"/>
        <item x="319"/>
        <item x="70"/>
        <item x="69"/>
        <item x="411"/>
        <item x="279"/>
        <item x="128"/>
        <item x="188"/>
        <item x="416"/>
        <item x="460"/>
        <item x="378"/>
        <item x="157"/>
        <item x="140"/>
        <item x="29"/>
        <item x="433"/>
        <item x="89"/>
        <item x="377"/>
        <item x="45"/>
        <item x="138"/>
        <item x="457"/>
        <item x="456"/>
        <item x="354"/>
        <item x="166"/>
        <item x="2"/>
        <item x="286"/>
        <item x="64"/>
        <item x="485"/>
        <item x="344"/>
        <item x="392"/>
        <item x="250"/>
        <item x="492"/>
        <item x="66"/>
        <item x="435"/>
        <item x="135"/>
        <item x="134"/>
        <item x="32"/>
        <item x="67"/>
        <item x="412"/>
        <item x="71"/>
        <item x="422"/>
        <item x="205"/>
        <item x="484"/>
        <item x="148"/>
        <item x="109"/>
        <item x="311"/>
        <item x="317"/>
        <item x="9"/>
        <item x="423"/>
        <item x="91"/>
        <item x="180"/>
        <item x="407"/>
        <item x="190"/>
        <item x="349"/>
        <item x="448"/>
        <item x="483"/>
        <item x="290"/>
        <item x="175"/>
        <item x="56"/>
        <item x="434"/>
        <item x="334"/>
        <item x="226"/>
        <item x="96"/>
        <item x="225"/>
        <item x="26"/>
        <item x="202"/>
        <item x="194"/>
        <item x="195"/>
        <item x="41"/>
        <item x="380"/>
        <item x="450"/>
        <item x="418"/>
        <item x="312"/>
        <item x="49"/>
        <item x="7"/>
        <item x="152"/>
        <item x="475"/>
        <item x="154"/>
        <item x="278"/>
        <item x="235"/>
        <item x="458"/>
        <item x="481"/>
        <item x="85"/>
        <item x="470"/>
        <item x="361"/>
        <item x="259"/>
        <item x="464"/>
        <item x="443"/>
        <item x="25"/>
        <item x="192"/>
        <item x="323"/>
        <item x="275"/>
        <item x="23"/>
        <item x="390"/>
        <item x="18"/>
        <item x="200"/>
        <item x="110"/>
        <item x="77"/>
        <item x="403"/>
        <item x="162"/>
        <item x="115"/>
        <item x="98"/>
        <item x="342"/>
        <item x="176"/>
        <item x="356"/>
        <item x="193"/>
        <item x="42"/>
        <item x="55"/>
        <item x="299"/>
        <item x="353"/>
        <item x="246"/>
        <item x="121"/>
        <item x="426"/>
        <item x="314"/>
        <item x="37"/>
        <item x="348"/>
        <item x="300"/>
        <item x="451"/>
        <item x="139"/>
        <item x="294"/>
        <item x="155"/>
        <item x="199"/>
        <item x="234"/>
        <item x="287"/>
        <item x="240"/>
        <item x="12"/>
        <item x="62"/>
        <item x="338"/>
        <item x="489"/>
        <item x="33"/>
        <item x="209"/>
        <item x="336"/>
        <item x="16"/>
        <item x="335"/>
        <item x="438"/>
        <item x="355"/>
        <item x="445"/>
        <item x="478"/>
        <item x="107"/>
        <item x="253"/>
        <item x="417"/>
        <item x="46"/>
        <item x="57"/>
        <item x="269"/>
        <item x="333"/>
        <item x="268"/>
        <item x="257"/>
        <item x="437"/>
        <item x="168"/>
        <item x="39"/>
        <item x="36"/>
        <item x="149"/>
        <item x="303"/>
        <item x="99"/>
        <item x="398"/>
        <item x="105"/>
        <item x="17"/>
        <item x="112"/>
        <item x="137"/>
        <item x="0"/>
        <item x="133"/>
        <item x="497"/>
        <item x="229"/>
        <item x="13"/>
        <item x="158"/>
        <item x="129"/>
        <item x="463"/>
        <item x="173"/>
        <item x="395"/>
        <item x="315"/>
        <item x="160"/>
        <item x="324"/>
        <item x="498"/>
        <item x="493"/>
        <item x="345"/>
        <item x="48"/>
        <item x="106"/>
        <item x="455"/>
        <item x="369"/>
        <item x="60"/>
        <item x="295"/>
        <item x="394"/>
        <item x="228"/>
        <item x="125"/>
        <item x="178"/>
        <item x="236"/>
        <item x="332"/>
        <item x="371"/>
        <item x="156"/>
        <item x="196"/>
        <item x="144"/>
        <item x="439"/>
        <item x="122"/>
        <item x="230"/>
        <item x="270"/>
        <item x="306"/>
        <item x="266"/>
        <item x="347"/>
        <item x="27"/>
        <item x="425"/>
        <item x="218"/>
        <item x="337"/>
        <item x="211"/>
        <item x="254"/>
        <item x="262"/>
        <item x="327"/>
        <item x="325"/>
        <item x="219"/>
        <item x="3"/>
        <item x="183"/>
        <item x="165"/>
        <item x="400"/>
        <item x="61"/>
        <item x="123"/>
        <item x="494"/>
        <item x="210"/>
        <item x="163"/>
        <item x="169"/>
        <item x="19"/>
        <item x="177"/>
        <item x="108"/>
        <item x="265"/>
        <item x="252"/>
        <item x="283"/>
        <item x="182"/>
        <item x="207"/>
        <item x="59"/>
        <item x="143"/>
        <item x="217"/>
        <item x="223"/>
        <item x="248"/>
        <item x="14"/>
        <item x="469"/>
        <item x="495"/>
        <item x="381"/>
        <item x="428"/>
        <item x="197"/>
        <item x="65"/>
        <item x="63"/>
        <item x="280"/>
        <item x="170"/>
        <item x="220"/>
        <item x="454"/>
        <item x="466"/>
        <item x="145"/>
        <item x="87"/>
        <item x="171"/>
        <item x="284"/>
        <item x="420"/>
        <item x="316"/>
        <item x="164"/>
        <item x="104"/>
        <item x="113"/>
        <item x="111"/>
        <item x="231"/>
        <item x="499"/>
        <item x="382"/>
        <item x="409"/>
        <item x="40"/>
        <item x="274"/>
        <item x="383"/>
        <item x="243"/>
        <item x="159"/>
        <item x="11"/>
        <item x="310"/>
        <item x="376"/>
        <item x="103"/>
        <item x="385"/>
        <item x="1"/>
        <item x="375"/>
        <item x="244"/>
        <item x="68"/>
        <item x="440"/>
        <item x="397"/>
        <item x="465"/>
        <item x="6"/>
        <item x="132"/>
        <item x="406"/>
        <item x="8"/>
        <item x="222"/>
        <item x="44"/>
        <item x="93"/>
        <item x="131"/>
        <item x="293"/>
        <item x="387"/>
        <item x="86"/>
        <item x="54"/>
        <item x="479"/>
        <item x="441"/>
        <item x="432"/>
        <item x="117"/>
        <item x="43"/>
        <item x="486"/>
        <item x="427"/>
        <item x="424"/>
        <item x="146"/>
        <item x="288"/>
        <item x="308"/>
        <item x="297"/>
        <item x="366"/>
        <item x="233"/>
        <item x="404"/>
        <item x="127"/>
        <item x="358"/>
        <item x="326"/>
        <item x="444"/>
        <item x="364"/>
        <item x="391"/>
        <item x="51"/>
        <item x="82"/>
        <item x="346"/>
        <item x="24"/>
        <item x="296"/>
        <item x="413"/>
        <item x="477"/>
        <item x="271"/>
        <item x="208"/>
        <item x="359"/>
        <item x="232"/>
        <item x="490"/>
        <item x="482"/>
        <item x="340"/>
        <item x="415"/>
        <item x="118"/>
        <item x="53"/>
        <item x="150"/>
        <item x="343"/>
        <item x="487"/>
        <item x="301"/>
        <item x="242"/>
        <item x="90"/>
        <item x="362"/>
        <item x="203"/>
        <item x="35"/>
        <item x="256"/>
        <item x="408"/>
        <item x="78"/>
        <item x="421"/>
        <item x="258"/>
        <item x="79"/>
        <item x="241"/>
        <item x="142"/>
        <item x="21"/>
        <item x="97"/>
        <item x="282"/>
        <item x="471"/>
        <item x="277"/>
        <item x="372"/>
        <item x="399"/>
        <item x="430"/>
        <item x="468"/>
        <item x="119"/>
        <item x="167"/>
        <item x="488"/>
        <item x="245"/>
        <item x="10"/>
        <item x="386"/>
        <item x="172"/>
        <item x="313"/>
        <item x="136"/>
        <item x="429"/>
        <item x="100"/>
        <item x="473"/>
        <item x="249"/>
        <item x="476"/>
        <item x="75"/>
        <item x="34"/>
        <item x="496"/>
        <item x="461"/>
        <item x="189"/>
        <item x="30"/>
        <item x="360"/>
        <item t="default"/>
      </items>
    </pivotField>
    <pivotField numFmtId="14" showAll="0"/>
    <pivotField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  <pivotField showAll="0"/>
    <pivotField showAll="0"/>
    <pivotField numFmtId="14"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5" subtotal="count" baseField="0" baseItem="0"/>
  </dataFields>
  <formats count="2">
    <format dxfId="8">
      <pivotArea outline="0" collapsedLevelsAreSubtotals="1" fieldPosition="0"/>
    </format>
    <format dxfId="1">
      <pivotArea collapsedLevelsAreSubtotals="1" fieldPosition="0">
        <references count="1">
          <reference field="1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4EBCE-D638-4653-8DB4-B17046D18AD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7:B13" firstHeaderRow="1" firstDataRow="1" firstDataCol="1"/>
  <pivotFields count="21">
    <pivotField showAll="0"/>
    <pivotField showAll="0"/>
    <pivotField showAll="0"/>
    <pivotField axis="axisRow" showAll="0">
      <items count="6">
        <item x="1"/>
        <item x="4"/>
        <item x="0"/>
        <item x="2"/>
        <item x="3"/>
        <item t="default"/>
      </items>
    </pivotField>
    <pivotField numFmtId="14" showAll="0"/>
    <pivotField dataField="1" showAll="0">
      <items count="501">
        <item x="307"/>
        <item x="472"/>
        <item x="480"/>
        <item x="292"/>
        <item x="350"/>
        <item x="161"/>
        <item x="410"/>
        <item x="449"/>
        <item x="80"/>
        <item x="318"/>
        <item x="114"/>
        <item x="238"/>
        <item x="414"/>
        <item x="341"/>
        <item x="116"/>
        <item x="474"/>
        <item x="4"/>
        <item x="153"/>
        <item x="365"/>
        <item x="305"/>
        <item x="370"/>
        <item x="204"/>
        <item x="367"/>
        <item x="72"/>
        <item x="206"/>
        <item x="264"/>
        <item x="373"/>
        <item x="320"/>
        <item x="273"/>
        <item x="198"/>
        <item x="74"/>
        <item x="31"/>
        <item x="442"/>
        <item x="285"/>
        <item x="453"/>
        <item x="260"/>
        <item x="267"/>
        <item x="73"/>
        <item x="52"/>
        <item x="101"/>
        <item x="130"/>
        <item x="191"/>
        <item x="452"/>
        <item x="216"/>
        <item x="15"/>
        <item x="84"/>
        <item x="330"/>
        <item x="255"/>
        <item x="402"/>
        <item x="436"/>
        <item x="184"/>
        <item x="462"/>
        <item x="396"/>
        <item x="185"/>
        <item x="251"/>
        <item x="141"/>
        <item x="363"/>
        <item x="447"/>
        <item x="393"/>
        <item x="214"/>
        <item x="352"/>
        <item x="224"/>
        <item x="291"/>
        <item x="247"/>
        <item x="401"/>
        <item x="92"/>
        <item x="491"/>
        <item x="88"/>
        <item x="120"/>
        <item x="431"/>
        <item x="281"/>
        <item x="201"/>
        <item x="50"/>
        <item x="124"/>
        <item x="328"/>
        <item x="28"/>
        <item x="389"/>
        <item x="368"/>
        <item x="179"/>
        <item x="181"/>
        <item x="174"/>
        <item x="357"/>
        <item x="126"/>
        <item x="83"/>
        <item x="22"/>
        <item x="321"/>
        <item x="302"/>
        <item x="384"/>
        <item x="151"/>
        <item x="212"/>
        <item x="102"/>
        <item x="351"/>
        <item x="276"/>
        <item x="467"/>
        <item x="76"/>
        <item x="304"/>
        <item x="388"/>
        <item x="81"/>
        <item x="5"/>
        <item x="261"/>
        <item x="20"/>
        <item x="446"/>
        <item x="339"/>
        <item x="94"/>
        <item x="239"/>
        <item x="221"/>
        <item x="459"/>
        <item x="322"/>
        <item x="187"/>
        <item x="309"/>
        <item x="331"/>
        <item x="186"/>
        <item x="215"/>
        <item x="213"/>
        <item x="38"/>
        <item x="58"/>
        <item x="227"/>
        <item x="95"/>
        <item x="419"/>
        <item x="147"/>
        <item x="47"/>
        <item x="374"/>
        <item x="298"/>
        <item x="272"/>
        <item x="405"/>
        <item x="263"/>
        <item x="289"/>
        <item x="329"/>
        <item x="379"/>
        <item x="237"/>
        <item x="319"/>
        <item x="70"/>
        <item x="69"/>
        <item x="411"/>
        <item x="279"/>
        <item x="128"/>
        <item x="188"/>
        <item x="416"/>
        <item x="460"/>
        <item x="378"/>
        <item x="157"/>
        <item x="140"/>
        <item x="29"/>
        <item x="433"/>
        <item x="89"/>
        <item x="377"/>
        <item x="45"/>
        <item x="138"/>
        <item x="457"/>
        <item x="456"/>
        <item x="354"/>
        <item x="166"/>
        <item x="2"/>
        <item x="286"/>
        <item x="64"/>
        <item x="485"/>
        <item x="344"/>
        <item x="392"/>
        <item x="250"/>
        <item x="492"/>
        <item x="66"/>
        <item x="435"/>
        <item x="135"/>
        <item x="134"/>
        <item x="32"/>
        <item x="67"/>
        <item x="412"/>
        <item x="71"/>
        <item x="422"/>
        <item x="205"/>
        <item x="484"/>
        <item x="148"/>
        <item x="109"/>
        <item x="311"/>
        <item x="317"/>
        <item x="9"/>
        <item x="423"/>
        <item x="91"/>
        <item x="180"/>
        <item x="407"/>
        <item x="190"/>
        <item x="349"/>
        <item x="448"/>
        <item x="483"/>
        <item x="290"/>
        <item x="175"/>
        <item x="56"/>
        <item x="434"/>
        <item x="334"/>
        <item x="226"/>
        <item x="96"/>
        <item x="225"/>
        <item x="26"/>
        <item x="202"/>
        <item x="194"/>
        <item x="195"/>
        <item x="41"/>
        <item x="380"/>
        <item x="450"/>
        <item x="418"/>
        <item x="312"/>
        <item x="49"/>
        <item x="7"/>
        <item x="152"/>
        <item x="475"/>
        <item x="154"/>
        <item x="278"/>
        <item x="235"/>
        <item x="458"/>
        <item x="481"/>
        <item x="85"/>
        <item x="470"/>
        <item x="361"/>
        <item x="259"/>
        <item x="464"/>
        <item x="443"/>
        <item x="25"/>
        <item x="192"/>
        <item x="323"/>
        <item x="275"/>
        <item x="23"/>
        <item x="390"/>
        <item x="18"/>
        <item x="200"/>
        <item x="110"/>
        <item x="77"/>
        <item x="403"/>
        <item x="162"/>
        <item x="115"/>
        <item x="98"/>
        <item x="342"/>
        <item x="176"/>
        <item x="356"/>
        <item x="193"/>
        <item x="42"/>
        <item x="55"/>
        <item x="299"/>
        <item x="353"/>
        <item x="246"/>
        <item x="121"/>
        <item x="426"/>
        <item x="314"/>
        <item x="37"/>
        <item x="348"/>
        <item x="300"/>
        <item x="451"/>
        <item x="139"/>
        <item x="294"/>
        <item x="155"/>
        <item x="199"/>
        <item x="234"/>
        <item x="287"/>
        <item x="240"/>
        <item x="12"/>
        <item x="62"/>
        <item x="338"/>
        <item x="489"/>
        <item x="33"/>
        <item x="209"/>
        <item x="336"/>
        <item x="16"/>
        <item x="335"/>
        <item x="438"/>
        <item x="355"/>
        <item x="445"/>
        <item x="478"/>
        <item x="107"/>
        <item x="253"/>
        <item x="417"/>
        <item x="46"/>
        <item x="57"/>
        <item x="269"/>
        <item x="333"/>
        <item x="268"/>
        <item x="257"/>
        <item x="437"/>
        <item x="168"/>
        <item x="39"/>
        <item x="36"/>
        <item x="149"/>
        <item x="303"/>
        <item x="99"/>
        <item x="398"/>
        <item x="105"/>
        <item x="17"/>
        <item x="112"/>
        <item x="137"/>
        <item x="0"/>
        <item x="133"/>
        <item x="497"/>
        <item x="229"/>
        <item x="13"/>
        <item x="158"/>
        <item x="129"/>
        <item x="463"/>
        <item x="173"/>
        <item x="395"/>
        <item x="315"/>
        <item x="160"/>
        <item x="324"/>
        <item x="498"/>
        <item x="493"/>
        <item x="345"/>
        <item x="48"/>
        <item x="106"/>
        <item x="455"/>
        <item x="369"/>
        <item x="60"/>
        <item x="295"/>
        <item x="394"/>
        <item x="228"/>
        <item x="125"/>
        <item x="178"/>
        <item x="236"/>
        <item x="332"/>
        <item x="371"/>
        <item x="156"/>
        <item x="196"/>
        <item x="144"/>
        <item x="439"/>
        <item x="122"/>
        <item x="230"/>
        <item x="270"/>
        <item x="306"/>
        <item x="266"/>
        <item x="347"/>
        <item x="27"/>
        <item x="425"/>
        <item x="218"/>
        <item x="337"/>
        <item x="211"/>
        <item x="254"/>
        <item x="262"/>
        <item x="327"/>
        <item x="325"/>
        <item x="219"/>
        <item x="3"/>
        <item x="183"/>
        <item x="165"/>
        <item x="400"/>
        <item x="61"/>
        <item x="123"/>
        <item x="494"/>
        <item x="210"/>
        <item x="163"/>
        <item x="169"/>
        <item x="19"/>
        <item x="177"/>
        <item x="108"/>
        <item x="265"/>
        <item x="252"/>
        <item x="283"/>
        <item x="182"/>
        <item x="207"/>
        <item x="59"/>
        <item x="143"/>
        <item x="217"/>
        <item x="223"/>
        <item x="248"/>
        <item x="14"/>
        <item x="469"/>
        <item x="495"/>
        <item x="381"/>
        <item x="428"/>
        <item x="197"/>
        <item x="65"/>
        <item x="63"/>
        <item x="280"/>
        <item x="170"/>
        <item x="220"/>
        <item x="454"/>
        <item x="466"/>
        <item x="145"/>
        <item x="87"/>
        <item x="171"/>
        <item x="284"/>
        <item x="420"/>
        <item x="316"/>
        <item x="164"/>
        <item x="104"/>
        <item x="113"/>
        <item x="111"/>
        <item x="231"/>
        <item x="499"/>
        <item x="382"/>
        <item x="409"/>
        <item x="40"/>
        <item x="274"/>
        <item x="383"/>
        <item x="243"/>
        <item x="159"/>
        <item x="11"/>
        <item x="310"/>
        <item x="376"/>
        <item x="103"/>
        <item x="385"/>
        <item x="1"/>
        <item x="375"/>
        <item x="244"/>
        <item x="68"/>
        <item x="440"/>
        <item x="397"/>
        <item x="465"/>
        <item x="6"/>
        <item x="132"/>
        <item x="406"/>
        <item x="8"/>
        <item x="222"/>
        <item x="44"/>
        <item x="93"/>
        <item x="131"/>
        <item x="293"/>
        <item x="387"/>
        <item x="86"/>
        <item x="54"/>
        <item x="479"/>
        <item x="441"/>
        <item x="432"/>
        <item x="117"/>
        <item x="43"/>
        <item x="486"/>
        <item x="427"/>
        <item x="424"/>
        <item x="146"/>
        <item x="288"/>
        <item x="308"/>
        <item x="297"/>
        <item x="366"/>
        <item x="233"/>
        <item x="404"/>
        <item x="127"/>
        <item x="358"/>
        <item x="326"/>
        <item x="444"/>
        <item x="364"/>
        <item x="391"/>
        <item x="51"/>
        <item x="82"/>
        <item x="346"/>
        <item x="24"/>
        <item x="296"/>
        <item x="413"/>
        <item x="477"/>
        <item x="271"/>
        <item x="208"/>
        <item x="359"/>
        <item x="232"/>
        <item x="490"/>
        <item x="482"/>
        <item x="340"/>
        <item x="415"/>
        <item x="118"/>
        <item x="53"/>
        <item x="150"/>
        <item x="343"/>
        <item x="487"/>
        <item x="301"/>
        <item x="242"/>
        <item x="90"/>
        <item x="362"/>
        <item x="203"/>
        <item x="35"/>
        <item x="256"/>
        <item x="408"/>
        <item x="78"/>
        <item x="421"/>
        <item x="258"/>
        <item x="79"/>
        <item x="241"/>
        <item x="142"/>
        <item x="21"/>
        <item x="97"/>
        <item x="282"/>
        <item x="471"/>
        <item x="277"/>
        <item x="372"/>
        <item x="399"/>
        <item x="430"/>
        <item x="468"/>
        <item x="119"/>
        <item x="167"/>
        <item x="488"/>
        <item x="245"/>
        <item x="10"/>
        <item x="386"/>
        <item x="172"/>
        <item x="313"/>
        <item x="136"/>
        <item x="429"/>
        <item x="100"/>
        <item x="473"/>
        <item x="249"/>
        <item x="476"/>
        <item x="75"/>
        <item x="34"/>
        <item x="496"/>
        <item x="461"/>
        <item x="189"/>
        <item x="30"/>
        <item x="360"/>
        <item t="default"/>
      </items>
    </pivotField>
    <pivotField numFmtId="14" showAll="0"/>
    <pivotField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5" subtotal="count" baseField="0" baseItem="0"/>
  </dataFields>
  <formats count="2">
    <format dxfId="9">
      <pivotArea outline="0" collapsedLevelsAreSubtotals="1" fieldPosition="0"/>
    </format>
    <format dxfId="2">
      <pivotArea collapsedLevelsAreSubtotals="1" fieldPosition="0">
        <references count="1">
          <reference field="3" count="1">
            <x v="3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BE446-E1DB-4D67-80DB-3384BE1D760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4" firstHeaderRow="1" firstDataRow="1" firstDataCol="1"/>
  <pivotFields count="21">
    <pivotField showAll="0"/>
    <pivotField showAll="0"/>
    <pivotField showAll="0"/>
    <pivotField showAll="0"/>
    <pivotField numFmtId="14" showAll="0"/>
    <pivotField showAll="0"/>
    <pivotField numFmtId="14" showAll="0"/>
    <pivotField axis="axisRow" showAll="0" measureFilter="1">
      <items count="6">
        <item x="1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dataField="1" showAll="0"/>
  </pivotFields>
  <rowFields count="1">
    <field x="7"/>
  </rowFields>
  <rowItems count="2">
    <i>
      <x v="3"/>
    </i>
    <i t="grand">
      <x/>
    </i>
  </rowItems>
  <colItems count="1">
    <i/>
  </colItems>
  <dataFields count="1">
    <dataField name="Sum of REVENUE" fld="20" baseField="0" baseItem="0" numFmtId="169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E6DF3-67E6-40BC-86FC-E7A71EDB067A}" name="Table1" displayName="Table1" ref="A1:U501" totalsRowShown="0" headerRowDxfId="30" dataDxfId="29">
  <autoFilter ref="A1:U501" xr:uid="{AF0E6DF3-67E6-40BC-86FC-E7A71EDB067A}"/>
  <tableColumns count="21">
    <tableColumn id="1" xr3:uid="{0118EAA8-F275-415A-82DA-35EC0D8E7220}" name="CUSTOMER ID" dataDxfId="28"/>
    <tableColumn id="2" xr3:uid="{3B26E19B-7C31-48FD-AEE0-98089791D879}" name="GENDER" dataDxfId="27"/>
    <tableColumn id="3" xr3:uid="{E6ABEE7C-CF11-4EAE-ACEC-CDCDCD3A471D}" name="AGE" dataDxfId="26"/>
    <tableColumn id="4" xr3:uid="{D010915D-6FF8-49E7-B4D0-495D01F84F47}" name="CITY" dataDxfId="25"/>
    <tableColumn id="5" xr3:uid="{9CDF8A28-B492-4309-B911-6241FF65A334}" name="SIGNUP DATE" dataDxfId="24"/>
    <tableColumn id="6" xr3:uid="{21769623-8986-46B1-9090-7CE70743F23C}" name="ORDER ID" dataDxfId="23"/>
    <tableColumn id="7" xr3:uid="{59F3CA6C-4203-464F-9DBF-E19981A576EE}" name="ORDER DATE" dataDxfId="22"/>
    <tableColumn id="8" xr3:uid="{EB46DCF6-3193-48AF-9E3C-056F536392BC}" name="RESTAURANT NAME" dataDxfId="21"/>
    <tableColumn id="9" xr3:uid="{552417EC-F441-4760-A2A2-7E30462DDB23}" name="DISH NAME" dataDxfId="20"/>
    <tableColumn id="10" xr3:uid="{AFCF133A-DC16-4454-BB2B-66E60B2CAAFE}" name="CATEGORY" dataDxfId="19"/>
    <tableColumn id="11" xr3:uid="{0D5DF14F-C6B4-45F7-B58E-22D7E69C2333}" name="QUANTITY" dataDxfId="18"/>
    <tableColumn id="12" xr3:uid="{A6660FEB-B339-4768-84AB-6EF29C8C79F5}" name="PRICE" dataDxfId="5"/>
    <tableColumn id="13" xr3:uid="{A18A711A-28AD-42C3-81C5-43C72DC02007}" name="PAYMENT METHOD" dataDxfId="17"/>
    <tableColumn id="14" xr3:uid="{CD165289-87C2-4C46-9386-32D92B43C116}" name="ORDER FREQUENCY" dataDxfId="16"/>
    <tableColumn id="15" xr3:uid="{76B4096F-A83A-47DD-8866-AB1F3629D931}" name="LAST ORDER DATE" dataDxfId="15"/>
    <tableColumn id="16" xr3:uid="{51AE4F58-ED7A-4F78-AB3A-BA8DD990962A}" name="LOYALTY POINTS" dataDxfId="14"/>
    <tableColumn id="17" xr3:uid="{CA977336-24BA-4262-A515-FBD609276D82}" name="CHURNED" dataDxfId="13"/>
    <tableColumn id="18" xr3:uid="{92FE14F7-4FE1-40D4-8B74-C741AFE5B5EF}" name="RATING" dataDxfId="12"/>
    <tableColumn id="19" xr3:uid="{E7DC5964-98A8-4BC8-A275-BEE160F78903}" name="RATING DATE" dataDxfId="11"/>
    <tableColumn id="20" xr3:uid="{E2CE1929-AF11-452A-88BB-C69E904AD388}" name="DELIVERY STATUS" dataDxfId="10"/>
    <tableColumn id="21" xr3:uid="{0E25C429-A430-40D6-B6AC-7918309A1D1E}" name="REVENUE" dataDxfId="4">
      <calculatedColumnFormula>Table1[[#This Row],[QUANTITY]]*Table1[[#This Row],[PRICE]]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9192-6F67-4E07-8F0B-3CBD17973227}">
  <dimension ref="A1:U501"/>
  <sheetViews>
    <sheetView topLeftCell="A474" workbookViewId="0">
      <selection activeCell="G2" sqref="G2"/>
    </sheetView>
  </sheetViews>
  <sheetFormatPr defaultRowHeight="13.2"/>
  <cols>
    <col min="1" max="1" width="15.6640625" style="18" customWidth="1"/>
    <col min="2" max="4" width="13.5546875" style="18" customWidth="1"/>
    <col min="5" max="5" width="15.33203125" style="18" customWidth="1"/>
    <col min="6" max="6" width="14" style="18" customWidth="1"/>
    <col min="7" max="7" width="15.44140625" style="18" customWidth="1"/>
    <col min="8" max="8" width="21.109375" style="18" customWidth="1"/>
    <col min="9" max="9" width="14.77734375" style="18" customWidth="1"/>
    <col min="10" max="10" width="13.88671875" style="18" customWidth="1"/>
    <col min="11" max="11" width="13.5546875" style="18" customWidth="1"/>
    <col min="12" max="12" width="13.5546875" style="36" customWidth="1"/>
    <col min="13" max="13" width="20" style="18" customWidth="1"/>
    <col min="14" max="14" width="21.5546875" style="18" customWidth="1"/>
    <col min="15" max="15" width="20.21875" style="18" customWidth="1"/>
    <col min="16" max="16" width="18.44140625" style="18" customWidth="1"/>
    <col min="17" max="18" width="13.5546875" style="18" customWidth="1"/>
    <col min="19" max="19" width="15.6640625" style="18" customWidth="1"/>
    <col min="20" max="20" width="19.6640625" style="18" customWidth="1"/>
    <col min="21" max="21" width="13.21875" style="36" customWidth="1"/>
    <col min="22" max="16384" width="8.88671875" style="18"/>
  </cols>
  <sheetData>
    <row r="1" spans="1:21">
      <c r="A1" s="18" t="s">
        <v>1038</v>
      </c>
      <c r="B1" s="18" t="s">
        <v>1039</v>
      </c>
      <c r="C1" s="18" t="s">
        <v>1040</v>
      </c>
      <c r="D1" s="18" t="s">
        <v>1041</v>
      </c>
      <c r="E1" s="18" t="s">
        <v>1042</v>
      </c>
      <c r="F1" s="18" t="s">
        <v>1043</v>
      </c>
      <c r="G1" s="18" t="s">
        <v>1044</v>
      </c>
      <c r="H1" s="18" t="s">
        <v>1045</v>
      </c>
      <c r="I1" s="18" t="s">
        <v>1046</v>
      </c>
      <c r="J1" s="18" t="s">
        <v>1047</v>
      </c>
      <c r="K1" s="18" t="s">
        <v>1048</v>
      </c>
      <c r="L1" s="36" t="s">
        <v>1049</v>
      </c>
      <c r="M1" s="18" t="s">
        <v>1050</v>
      </c>
      <c r="N1" s="18" t="s">
        <v>1051</v>
      </c>
      <c r="O1" s="18" t="s">
        <v>1052</v>
      </c>
      <c r="P1" s="18" t="s">
        <v>1053</v>
      </c>
      <c r="Q1" s="18" t="s">
        <v>1054</v>
      </c>
      <c r="R1" s="18" t="s">
        <v>1055</v>
      </c>
      <c r="S1" s="18" t="s">
        <v>1056</v>
      </c>
      <c r="T1" s="18" t="s">
        <v>1057</v>
      </c>
      <c r="U1" s="38" t="s">
        <v>2</v>
      </c>
    </row>
    <row r="2" spans="1:21">
      <c r="A2" s="19" t="s">
        <v>4</v>
      </c>
      <c r="B2" s="19" t="s">
        <v>5</v>
      </c>
      <c r="C2" s="19" t="s">
        <v>6</v>
      </c>
      <c r="D2" s="19" t="s">
        <v>7</v>
      </c>
      <c r="E2" s="20">
        <v>45461</v>
      </c>
      <c r="F2" s="19" t="s">
        <v>8</v>
      </c>
      <c r="G2" s="20">
        <v>45404</v>
      </c>
      <c r="H2" s="19" t="s">
        <v>9</v>
      </c>
      <c r="I2" s="19" t="s">
        <v>10</v>
      </c>
      <c r="J2" s="19" t="s">
        <v>11</v>
      </c>
      <c r="K2" s="19">
        <v>4</v>
      </c>
      <c r="L2" s="37">
        <v>222.31</v>
      </c>
      <c r="M2" s="19" t="s">
        <v>12</v>
      </c>
      <c r="N2" s="19">
        <v>4</v>
      </c>
      <c r="O2" s="20">
        <v>45788</v>
      </c>
      <c r="P2" s="19">
        <v>450</v>
      </c>
      <c r="Q2" s="19" t="s">
        <v>13</v>
      </c>
      <c r="R2" s="19">
        <v>4</v>
      </c>
      <c r="S2" s="20">
        <v>45816</v>
      </c>
      <c r="T2" s="19" t="s">
        <v>14</v>
      </c>
      <c r="U2" s="39">
        <f>Table1[[#This Row],[QUANTITY]]*Table1[[#This Row],[PRICE]]</f>
        <v>889.24</v>
      </c>
    </row>
    <row r="3" spans="1:21">
      <c r="A3" s="19" t="s">
        <v>15</v>
      </c>
      <c r="B3" s="19" t="s">
        <v>5</v>
      </c>
      <c r="C3" s="19" t="s">
        <v>16</v>
      </c>
      <c r="D3" s="19" t="s">
        <v>17</v>
      </c>
      <c r="E3" s="20">
        <v>45259</v>
      </c>
      <c r="F3" s="19" t="s">
        <v>18</v>
      </c>
      <c r="G3" s="20">
        <v>45405</v>
      </c>
      <c r="H3" s="19" t="s">
        <v>19</v>
      </c>
      <c r="I3" s="19" t="s">
        <v>20</v>
      </c>
      <c r="J3" s="19" t="s">
        <v>21</v>
      </c>
      <c r="K3" s="19">
        <v>3</v>
      </c>
      <c r="L3" s="37">
        <v>509.02</v>
      </c>
      <c r="M3" s="19" t="s">
        <v>22</v>
      </c>
      <c r="N3" s="19">
        <v>46</v>
      </c>
      <c r="O3" s="20">
        <v>45621</v>
      </c>
      <c r="P3" s="19">
        <v>193</v>
      </c>
      <c r="Q3" s="19" t="s">
        <v>23</v>
      </c>
      <c r="S3" s="20">
        <v>45751</v>
      </c>
      <c r="T3" s="19" t="s">
        <v>24</v>
      </c>
      <c r="U3" s="39">
        <f>Table1[[#This Row],[QUANTITY]]*Table1[[#This Row],[PRICE]]</f>
        <v>1527.06</v>
      </c>
    </row>
    <row r="4" spans="1:21">
      <c r="A4" s="19" t="s">
        <v>25</v>
      </c>
      <c r="B4" s="19" t="s">
        <v>26</v>
      </c>
      <c r="C4" s="19" t="s">
        <v>27</v>
      </c>
      <c r="D4" s="19" t="s">
        <v>7</v>
      </c>
      <c r="E4" s="20">
        <v>45641</v>
      </c>
      <c r="F4" s="19" t="s">
        <v>28</v>
      </c>
      <c r="G4" s="20">
        <v>45405</v>
      </c>
      <c r="H4" s="19" t="s">
        <v>29</v>
      </c>
      <c r="I4" s="19" t="s">
        <v>20</v>
      </c>
      <c r="J4" s="19" t="s">
        <v>21</v>
      </c>
      <c r="K4" s="19">
        <v>2</v>
      </c>
      <c r="L4" s="37">
        <v>321.95999999999998</v>
      </c>
      <c r="M4" s="19" t="s">
        <v>12</v>
      </c>
      <c r="N4" s="19">
        <v>25</v>
      </c>
      <c r="O4" s="20">
        <v>45847</v>
      </c>
      <c r="P4" s="19">
        <v>222</v>
      </c>
      <c r="Q4" s="19" t="s">
        <v>13</v>
      </c>
      <c r="S4" s="20">
        <v>45815</v>
      </c>
      <c r="T4" s="19" t="s">
        <v>24</v>
      </c>
      <c r="U4" s="39">
        <f>Table1[[#This Row],[QUANTITY]]*Table1[[#This Row],[PRICE]]</f>
        <v>643.91999999999996</v>
      </c>
    </row>
    <row r="5" spans="1:21">
      <c r="A5" s="19" t="s">
        <v>30</v>
      </c>
      <c r="B5" s="19" t="s">
        <v>5</v>
      </c>
      <c r="C5" s="19" t="s">
        <v>27</v>
      </c>
      <c r="D5" s="19" t="s">
        <v>31</v>
      </c>
      <c r="E5" s="20">
        <v>45692</v>
      </c>
      <c r="F5" s="19" t="s">
        <v>32</v>
      </c>
      <c r="G5" s="20">
        <v>45405</v>
      </c>
      <c r="H5" s="19" t="s">
        <v>29</v>
      </c>
      <c r="I5" s="19" t="s">
        <v>20</v>
      </c>
      <c r="J5" s="19" t="s">
        <v>33</v>
      </c>
      <c r="K5" s="19">
        <v>4</v>
      </c>
      <c r="L5" s="37">
        <v>889.71</v>
      </c>
      <c r="M5" s="19" t="s">
        <v>22</v>
      </c>
      <c r="N5" s="19">
        <v>13</v>
      </c>
      <c r="O5" s="20">
        <v>45694</v>
      </c>
      <c r="P5" s="19">
        <v>126</v>
      </c>
      <c r="Q5" s="19" t="s">
        <v>23</v>
      </c>
      <c r="R5" s="19">
        <v>4</v>
      </c>
      <c r="S5" s="20">
        <v>45637</v>
      </c>
      <c r="T5" s="19" t="s">
        <v>34</v>
      </c>
      <c r="U5" s="39">
        <f>Table1[[#This Row],[QUANTITY]]*Table1[[#This Row],[PRICE]]</f>
        <v>3558.84</v>
      </c>
    </row>
    <row r="6" spans="1:21">
      <c r="A6" s="19" t="s">
        <v>35</v>
      </c>
      <c r="B6" s="19" t="s">
        <v>26</v>
      </c>
      <c r="C6" s="19" t="s">
        <v>16</v>
      </c>
      <c r="D6" s="19" t="s">
        <v>17</v>
      </c>
      <c r="E6" s="20">
        <v>45595</v>
      </c>
      <c r="F6" s="19" t="s">
        <v>36</v>
      </c>
      <c r="G6" s="20">
        <v>45405</v>
      </c>
      <c r="H6" s="19" t="s">
        <v>29</v>
      </c>
      <c r="I6" s="19" t="s">
        <v>37</v>
      </c>
      <c r="J6" s="19" t="s">
        <v>33</v>
      </c>
      <c r="K6" s="19">
        <v>4</v>
      </c>
      <c r="L6" s="37">
        <v>163.58000000000001</v>
      </c>
      <c r="M6" s="19" t="s">
        <v>38</v>
      </c>
      <c r="N6" s="19">
        <v>6</v>
      </c>
      <c r="O6" s="20">
        <v>45858</v>
      </c>
      <c r="P6" s="19">
        <v>272</v>
      </c>
      <c r="Q6" s="19" t="s">
        <v>23</v>
      </c>
      <c r="S6" s="20">
        <v>45721</v>
      </c>
      <c r="T6" s="19" t="s">
        <v>24</v>
      </c>
      <c r="U6" s="39">
        <f>Table1[[#This Row],[QUANTITY]]*Table1[[#This Row],[PRICE]]</f>
        <v>654.32000000000005</v>
      </c>
    </row>
    <row r="7" spans="1:21">
      <c r="A7" s="19" t="s">
        <v>39</v>
      </c>
      <c r="B7" s="19" t="s">
        <v>5</v>
      </c>
      <c r="C7" s="19" t="s">
        <v>16</v>
      </c>
      <c r="D7" s="19" t="s">
        <v>31</v>
      </c>
      <c r="E7" s="20">
        <v>45482</v>
      </c>
      <c r="F7" s="19" t="s">
        <v>40</v>
      </c>
      <c r="G7" s="20">
        <v>45405</v>
      </c>
      <c r="H7" s="19" t="s">
        <v>9</v>
      </c>
      <c r="I7" s="19" t="s">
        <v>10</v>
      </c>
      <c r="J7" s="19" t="s">
        <v>41</v>
      </c>
      <c r="K7" s="19">
        <v>3</v>
      </c>
      <c r="L7" s="37">
        <v>1259.72</v>
      </c>
      <c r="M7" s="19" t="s">
        <v>38</v>
      </c>
      <c r="N7" s="19">
        <v>39</v>
      </c>
      <c r="O7" s="20">
        <v>45759</v>
      </c>
      <c r="P7" s="19">
        <v>59</v>
      </c>
      <c r="Q7" s="19" t="s">
        <v>13</v>
      </c>
      <c r="R7" s="19">
        <v>1</v>
      </c>
      <c r="S7" s="20">
        <v>45842</v>
      </c>
      <c r="T7" s="19" t="s">
        <v>34</v>
      </c>
      <c r="U7" s="39">
        <f>Table1[[#This Row],[QUANTITY]]*Table1[[#This Row],[PRICE]]</f>
        <v>3779.16</v>
      </c>
    </row>
    <row r="8" spans="1:21">
      <c r="A8" s="19" t="s">
        <v>42</v>
      </c>
      <c r="B8" s="19" t="s">
        <v>5</v>
      </c>
      <c r="C8" s="19" t="s">
        <v>27</v>
      </c>
      <c r="D8" s="19" t="s">
        <v>17</v>
      </c>
      <c r="E8" s="20">
        <v>45852</v>
      </c>
      <c r="F8" s="19" t="s">
        <v>43</v>
      </c>
      <c r="G8" s="20">
        <v>45405</v>
      </c>
      <c r="H8" s="19" t="s">
        <v>44</v>
      </c>
      <c r="I8" s="19" t="s">
        <v>10</v>
      </c>
      <c r="J8" s="19" t="s">
        <v>21</v>
      </c>
      <c r="K8" s="19">
        <v>1</v>
      </c>
      <c r="L8" s="37">
        <v>452.54</v>
      </c>
      <c r="M8" s="19" t="s">
        <v>22</v>
      </c>
      <c r="N8" s="19">
        <v>27</v>
      </c>
      <c r="O8" s="20">
        <v>45838</v>
      </c>
      <c r="P8" s="19">
        <v>467</v>
      </c>
      <c r="Q8" s="19" t="s">
        <v>13</v>
      </c>
      <c r="R8" s="19">
        <v>5</v>
      </c>
      <c r="S8" s="20">
        <v>45598</v>
      </c>
      <c r="T8" s="19" t="s">
        <v>34</v>
      </c>
      <c r="U8" s="39">
        <f>Table1[[#This Row],[QUANTITY]]*Table1[[#This Row],[PRICE]]</f>
        <v>452.54</v>
      </c>
    </row>
    <row r="9" spans="1:21">
      <c r="A9" s="19" t="s">
        <v>45</v>
      </c>
      <c r="B9" s="19" t="s">
        <v>46</v>
      </c>
      <c r="C9" s="19" t="s">
        <v>16</v>
      </c>
      <c r="D9" s="19" t="s">
        <v>17</v>
      </c>
      <c r="E9" s="20">
        <v>45169</v>
      </c>
      <c r="F9" s="19" t="s">
        <v>47</v>
      </c>
      <c r="G9" s="20">
        <v>45405</v>
      </c>
      <c r="H9" s="19" t="s">
        <v>29</v>
      </c>
      <c r="I9" s="19" t="s">
        <v>10</v>
      </c>
      <c r="J9" s="19" t="s">
        <v>48</v>
      </c>
      <c r="K9" s="19">
        <v>3</v>
      </c>
      <c r="L9" s="37">
        <v>1399.51</v>
      </c>
      <c r="M9" s="19" t="s">
        <v>38</v>
      </c>
      <c r="N9" s="19">
        <v>6</v>
      </c>
      <c r="O9" s="20">
        <v>45712</v>
      </c>
      <c r="P9" s="19">
        <v>4</v>
      </c>
      <c r="Q9" s="19" t="s">
        <v>13</v>
      </c>
      <c r="S9" s="20">
        <v>45535</v>
      </c>
      <c r="T9" s="19" t="s">
        <v>24</v>
      </c>
      <c r="U9" s="39">
        <f>Table1[[#This Row],[QUANTITY]]*Table1[[#This Row],[PRICE]]</f>
        <v>4198.53</v>
      </c>
    </row>
    <row r="10" spans="1:21">
      <c r="A10" s="19" t="s">
        <v>49</v>
      </c>
      <c r="B10" s="19" t="s">
        <v>26</v>
      </c>
      <c r="C10" s="19" t="s">
        <v>27</v>
      </c>
      <c r="D10" s="19" t="s">
        <v>7</v>
      </c>
      <c r="E10" s="20">
        <v>45392</v>
      </c>
      <c r="F10" s="19" t="s">
        <v>50</v>
      </c>
      <c r="G10" s="20">
        <v>45405</v>
      </c>
      <c r="H10" s="19" t="s">
        <v>29</v>
      </c>
      <c r="I10" s="19" t="s">
        <v>51</v>
      </c>
      <c r="J10" s="19" t="s">
        <v>48</v>
      </c>
      <c r="K10" s="19">
        <v>1</v>
      </c>
      <c r="L10" s="37">
        <v>501.59</v>
      </c>
      <c r="M10" s="19" t="s">
        <v>38</v>
      </c>
      <c r="N10" s="19">
        <v>4</v>
      </c>
      <c r="O10" s="20">
        <v>45698</v>
      </c>
      <c r="P10" s="19">
        <v>139</v>
      </c>
      <c r="Q10" s="19" t="s">
        <v>13</v>
      </c>
      <c r="R10" s="19">
        <v>2</v>
      </c>
      <c r="S10" s="20">
        <v>45549</v>
      </c>
      <c r="T10" s="19" t="s">
        <v>34</v>
      </c>
      <c r="U10" s="39">
        <f>Table1[[#This Row],[QUANTITY]]*Table1[[#This Row],[PRICE]]</f>
        <v>501.59</v>
      </c>
    </row>
    <row r="11" spans="1:21">
      <c r="A11" s="19" t="s">
        <v>52</v>
      </c>
      <c r="B11" s="19" t="s">
        <v>5</v>
      </c>
      <c r="C11" s="19" t="s">
        <v>6</v>
      </c>
      <c r="D11" s="19" t="s">
        <v>53</v>
      </c>
      <c r="E11" s="20">
        <v>45372</v>
      </c>
      <c r="F11" s="19" t="s">
        <v>54</v>
      </c>
      <c r="G11" s="20">
        <v>45405</v>
      </c>
      <c r="H11" s="19" t="s">
        <v>19</v>
      </c>
      <c r="I11" s="19" t="s">
        <v>55</v>
      </c>
      <c r="J11" s="19" t="s">
        <v>48</v>
      </c>
      <c r="K11" s="19">
        <v>5</v>
      </c>
      <c r="L11" s="37">
        <v>783.53</v>
      </c>
      <c r="M11" s="19" t="s">
        <v>38</v>
      </c>
      <c r="N11" s="19">
        <v>11</v>
      </c>
      <c r="O11" s="20">
        <v>45718</v>
      </c>
      <c r="P11" s="19">
        <v>276</v>
      </c>
      <c r="Q11" s="19" t="s">
        <v>23</v>
      </c>
      <c r="R11" s="19">
        <v>2</v>
      </c>
      <c r="S11" s="20">
        <v>45789</v>
      </c>
      <c r="T11" s="19" t="s">
        <v>14</v>
      </c>
      <c r="U11" s="39">
        <f>Table1[[#This Row],[QUANTITY]]*Table1[[#This Row],[PRICE]]</f>
        <v>3917.6499999999996</v>
      </c>
    </row>
    <row r="12" spans="1:21">
      <c r="A12" s="19" t="s">
        <v>56</v>
      </c>
      <c r="B12" s="19" t="s">
        <v>26</v>
      </c>
      <c r="C12" s="19" t="s">
        <v>27</v>
      </c>
      <c r="D12" s="19" t="s">
        <v>31</v>
      </c>
      <c r="E12" s="20">
        <v>45837</v>
      </c>
      <c r="F12" s="19" t="s">
        <v>57</v>
      </c>
      <c r="G12" s="20">
        <v>45405</v>
      </c>
      <c r="H12" s="19" t="s">
        <v>29</v>
      </c>
      <c r="I12" s="19" t="s">
        <v>37</v>
      </c>
      <c r="J12" s="19" t="s">
        <v>48</v>
      </c>
      <c r="K12" s="19">
        <v>4</v>
      </c>
      <c r="L12" s="37">
        <v>364.24</v>
      </c>
      <c r="M12" s="19" t="s">
        <v>38</v>
      </c>
      <c r="N12" s="19">
        <v>25</v>
      </c>
      <c r="O12" s="20">
        <v>45695</v>
      </c>
      <c r="P12" s="19">
        <v>220</v>
      </c>
      <c r="Q12" s="19" t="s">
        <v>13</v>
      </c>
      <c r="R12" s="19">
        <v>2</v>
      </c>
      <c r="S12" s="20">
        <v>45880</v>
      </c>
      <c r="T12" s="19" t="s">
        <v>34</v>
      </c>
      <c r="U12" s="39">
        <f>Table1[[#This Row],[QUANTITY]]*Table1[[#This Row],[PRICE]]</f>
        <v>1456.96</v>
      </c>
    </row>
    <row r="13" spans="1:21">
      <c r="A13" s="19" t="s">
        <v>58</v>
      </c>
      <c r="B13" s="19" t="s">
        <v>46</v>
      </c>
      <c r="C13" s="19" t="s">
        <v>16</v>
      </c>
      <c r="D13" s="19" t="s">
        <v>53</v>
      </c>
      <c r="E13" s="20">
        <v>45236</v>
      </c>
      <c r="F13" s="19" t="s">
        <v>59</v>
      </c>
      <c r="G13" s="20">
        <v>45405</v>
      </c>
      <c r="H13" s="19" t="s">
        <v>19</v>
      </c>
      <c r="I13" s="19" t="s">
        <v>37</v>
      </c>
      <c r="J13" s="19" t="s">
        <v>11</v>
      </c>
      <c r="K13" s="19">
        <v>4</v>
      </c>
      <c r="L13" s="37">
        <v>1251.7</v>
      </c>
      <c r="M13" s="19" t="s">
        <v>38</v>
      </c>
      <c r="N13" s="19">
        <v>22</v>
      </c>
      <c r="O13" s="20">
        <v>45857</v>
      </c>
      <c r="P13" s="19">
        <v>218</v>
      </c>
      <c r="Q13" s="19" t="s">
        <v>13</v>
      </c>
      <c r="R13" s="19">
        <v>2</v>
      </c>
      <c r="S13" s="20">
        <v>45825</v>
      </c>
      <c r="T13" s="19" t="s">
        <v>34</v>
      </c>
      <c r="U13" s="39">
        <f>Table1[[#This Row],[QUANTITY]]*Table1[[#This Row],[PRICE]]</f>
        <v>5006.8</v>
      </c>
    </row>
    <row r="14" spans="1:21">
      <c r="A14" s="19" t="s">
        <v>60</v>
      </c>
      <c r="B14" s="19" t="s">
        <v>46</v>
      </c>
      <c r="C14" s="19" t="s">
        <v>16</v>
      </c>
      <c r="D14" s="19" t="s">
        <v>17</v>
      </c>
      <c r="E14" s="20">
        <v>45702</v>
      </c>
      <c r="F14" s="19" t="s">
        <v>61</v>
      </c>
      <c r="G14" s="20">
        <v>45406</v>
      </c>
      <c r="H14" s="19" t="s">
        <v>62</v>
      </c>
      <c r="I14" s="19" t="s">
        <v>51</v>
      </c>
      <c r="J14" s="19" t="s">
        <v>33</v>
      </c>
      <c r="K14" s="19">
        <v>4</v>
      </c>
      <c r="L14" s="37">
        <v>417.39</v>
      </c>
      <c r="M14" s="19" t="s">
        <v>12</v>
      </c>
      <c r="N14" s="19">
        <v>37</v>
      </c>
      <c r="O14" s="20">
        <v>45573</v>
      </c>
      <c r="P14" s="19">
        <v>180</v>
      </c>
      <c r="Q14" s="19" t="s">
        <v>23</v>
      </c>
      <c r="R14" s="19">
        <v>3</v>
      </c>
      <c r="S14" s="20">
        <v>45633</v>
      </c>
      <c r="T14" s="19" t="s">
        <v>14</v>
      </c>
      <c r="U14" s="39">
        <f>Table1[[#This Row],[QUANTITY]]*Table1[[#This Row],[PRICE]]</f>
        <v>1669.56</v>
      </c>
    </row>
    <row r="15" spans="1:21">
      <c r="A15" s="19" t="s">
        <v>63</v>
      </c>
      <c r="B15" s="19" t="s">
        <v>46</v>
      </c>
      <c r="C15" s="19" t="s">
        <v>6</v>
      </c>
      <c r="D15" s="19" t="s">
        <v>17</v>
      </c>
      <c r="E15" s="20">
        <v>45254</v>
      </c>
      <c r="F15" s="19" t="s">
        <v>64</v>
      </c>
      <c r="G15" s="20">
        <v>45406</v>
      </c>
      <c r="H15" s="19" t="s">
        <v>62</v>
      </c>
      <c r="I15" s="19" t="s">
        <v>37</v>
      </c>
      <c r="J15" s="19" t="s">
        <v>33</v>
      </c>
      <c r="K15" s="19">
        <v>1</v>
      </c>
      <c r="L15" s="37">
        <v>153.81</v>
      </c>
      <c r="M15" s="19" t="s">
        <v>38</v>
      </c>
      <c r="N15" s="19">
        <v>17</v>
      </c>
      <c r="O15" s="20">
        <v>45706</v>
      </c>
      <c r="P15" s="19">
        <v>106</v>
      </c>
      <c r="Q15" s="19" t="s">
        <v>23</v>
      </c>
      <c r="R15" s="19">
        <v>3</v>
      </c>
      <c r="S15" s="20">
        <v>45653</v>
      </c>
      <c r="T15" s="19" t="s">
        <v>34</v>
      </c>
      <c r="U15" s="39">
        <f>Table1[[#This Row],[QUANTITY]]*Table1[[#This Row],[PRICE]]</f>
        <v>153.81</v>
      </c>
    </row>
    <row r="16" spans="1:21">
      <c r="A16" s="19" t="s">
        <v>65</v>
      </c>
      <c r="B16" s="19" t="s">
        <v>5</v>
      </c>
      <c r="C16" s="19" t="s">
        <v>16</v>
      </c>
      <c r="D16" s="19" t="s">
        <v>31</v>
      </c>
      <c r="E16" s="20">
        <v>45368</v>
      </c>
      <c r="F16" s="19" t="s">
        <v>66</v>
      </c>
      <c r="G16" s="20">
        <v>45406</v>
      </c>
      <c r="H16" s="19" t="s">
        <v>19</v>
      </c>
      <c r="I16" s="19" t="s">
        <v>20</v>
      </c>
      <c r="J16" s="19" t="s">
        <v>33</v>
      </c>
      <c r="K16" s="19">
        <v>3</v>
      </c>
      <c r="L16" s="37">
        <v>606.24</v>
      </c>
      <c r="M16" s="19" t="s">
        <v>22</v>
      </c>
      <c r="N16" s="19">
        <v>10</v>
      </c>
      <c r="O16" s="20">
        <v>45610</v>
      </c>
      <c r="P16" s="19">
        <v>125</v>
      </c>
      <c r="Q16" s="19" t="s">
        <v>13</v>
      </c>
      <c r="R16" s="19">
        <v>2</v>
      </c>
      <c r="S16" s="20">
        <v>45771</v>
      </c>
      <c r="T16" s="19" t="s">
        <v>34</v>
      </c>
      <c r="U16" s="39">
        <f>Table1[[#This Row],[QUANTITY]]*Table1[[#This Row],[PRICE]]</f>
        <v>1818.72</v>
      </c>
    </row>
    <row r="17" spans="1:21">
      <c r="A17" s="19" t="s">
        <v>67</v>
      </c>
      <c r="B17" s="19" t="s">
        <v>26</v>
      </c>
      <c r="C17" s="19" t="s">
        <v>27</v>
      </c>
      <c r="D17" s="19" t="s">
        <v>17</v>
      </c>
      <c r="E17" s="20">
        <v>45211</v>
      </c>
      <c r="F17" s="19" t="s">
        <v>68</v>
      </c>
      <c r="G17" s="20">
        <v>45406</v>
      </c>
      <c r="H17" s="19" t="s">
        <v>19</v>
      </c>
      <c r="I17" s="19" t="s">
        <v>51</v>
      </c>
      <c r="J17" s="19" t="s">
        <v>41</v>
      </c>
      <c r="K17" s="19">
        <v>4</v>
      </c>
      <c r="L17" s="37">
        <v>1220.3800000000001</v>
      </c>
      <c r="M17" s="19" t="s">
        <v>22</v>
      </c>
      <c r="N17" s="19">
        <v>42</v>
      </c>
      <c r="O17" s="20">
        <v>45833</v>
      </c>
      <c r="P17" s="19">
        <v>409</v>
      </c>
      <c r="Q17" s="19" t="s">
        <v>23</v>
      </c>
      <c r="S17" s="20">
        <v>45546</v>
      </c>
      <c r="T17" s="19" t="s">
        <v>24</v>
      </c>
      <c r="U17" s="39">
        <f>Table1[[#This Row],[QUANTITY]]*Table1[[#This Row],[PRICE]]</f>
        <v>4881.5200000000004</v>
      </c>
    </row>
    <row r="18" spans="1:21">
      <c r="A18" s="19" t="s">
        <v>69</v>
      </c>
      <c r="B18" s="19" t="s">
        <v>5</v>
      </c>
      <c r="C18" s="19" t="s">
        <v>16</v>
      </c>
      <c r="D18" s="19" t="s">
        <v>70</v>
      </c>
      <c r="E18" s="20">
        <v>45838</v>
      </c>
      <c r="F18" s="19" t="s">
        <v>71</v>
      </c>
      <c r="G18" s="20">
        <v>45406</v>
      </c>
      <c r="H18" s="19" t="s">
        <v>19</v>
      </c>
      <c r="I18" s="19" t="s">
        <v>55</v>
      </c>
      <c r="J18" s="19" t="s">
        <v>33</v>
      </c>
      <c r="K18" s="19">
        <v>5</v>
      </c>
      <c r="L18" s="37">
        <v>1300.96</v>
      </c>
      <c r="M18" s="19" t="s">
        <v>38</v>
      </c>
      <c r="N18" s="19">
        <v>8</v>
      </c>
      <c r="O18" s="20">
        <v>45698</v>
      </c>
      <c r="P18" s="19">
        <v>269</v>
      </c>
      <c r="Q18" s="19" t="s">
        <v>13</v>
      </c>
      <c r="S18" s="20">
        <v>45590</v>
      </c>
      <c r="T18" s="19" t="s">
        <v>24</v>
      </c>
      <c r="U18" s="39">
        <f>Table1[[#This Row],[QUANTITY]]*Table1[[#This Row],[PRICE]]</f>
        <v>6504.8</v>
      </c>
    </row>
    <row r="19" spans="1:21">
      <c r="A19" s="19" t="s">
        <v>72</v>
      </c>
      <c r="B19" s="19" t="s">
        <v>46</v>
      </c>
      <c r="C19" s="19" t="s">
        <v>6</v>
      </c>
      <c r="D19" s="19" t="s">
        <v>70</v>
      </c>
      <c r="E19" s="20">
        <v>45241</v>
      </c>
      <c r="F19" s="19" t="s">
        <v>73</v>
      </c>
      <c r="G19" s="20">
        <v>45406</v>
      </c>
      <c r="H19" s="19" t="s">
        <v>9</v>
      </c>
      <c r="I19" s="19" t="s">
        <v>37</v>
      </c>
      <c r="J19" s="19" t="s">
        <v>21</v>
      </c>
      <c r="K19" s="19">
        <v>4</v>
      </c>
      <c r="L19" s="37">
        <v>476.38</v>
      </c>
      <c r="M19" s="19" t="s">
        <v>12</v>
      </c>
      <c r="N19" s="19">
        <v>27</v>
      </c>
      <c r="O19" s="20">
        <v>45624</v>
      </c>
      <c r="P19" s="19">
        <v>222</v>
      </c>
      <c r="Q19" s="19" t="s">
        <v>13</v>
      </c>
      <c r="S19" s="20">
        <v>45785</v>
      </c>
      <c r="T19" s="19" t="s">
        <v>24</v>
      </c>
      <c r="U19" s="39">
        <f>Table1[[#This Row],[QUANTITY]]*Table1[[#This Row],[PRICE]]</f>
        <v>1905.52</v>
      </c>
    </row>
    <row r="20" spans="1:21">
      <c r="A20" s="19" t="s">
        <v>74</v>
      </c>
      <c r="B20" s="19" t="s">
        <v>26</v>
      </c>
      <c r="C20" s="19" t="s">
        <v>6</v>
      </c>
      <c r="D20" s="19" t="s">
        <v>31</v>
      </c>
      <c r="E20" s="20">
        <v>45603</v>
      </c>
      <c r="F20" s="19" t="s">
        <v>75</v>
      </c>
      <c r="G20" s="20">
        <v>45406</v>
      </c>
      <c r="H20" s="19" t="s">
        <v>9</v>
      </c>
      <c r="I20" s="19" t="s">
        <v>10</v>
      </c>
      <c r="J20" s="19" t="s">
        <v>11</v>
      </c>
      <c r="K20" s="19">
        <v>3</v>
      </c>
      <c r="L20" s="37">
        <v>644.27</v>
      </c>
      <c r="M20" s="19" t="s">
        <v>22</v>
      </c>
      <c r="N20" s="19">
        <v>17</v>
      </c>
      <c r="O20" s="20">
        <v>45638</v>
      </c>
      <c r="P20" s="19">
        <v>265</v>
      </c>
      <c r="Q20" s="19" t="s">
        <v>13</v>
      </c>
      <c r="R20" s="19">
        <v>2</v>
      </c>
      <c r="S20" s="20">
        <v>45821</v>
      </c>
      <c r="T20" s="19" t="s">
        <v>14</v>
      </c>
      <c r="U20" s="39">
        <f>Table1[[#This Row],[QUANTITY]]*Table1[[#This Row],[PRICE]]</f>
        <v>1932.81</v>
      </c>
    </row>
    <row r="21" spans="1:21">
      <c r="A21" s="19" t="s">
        <v>76</v>
      </c>
      <c r="B21" s="19" t="s">
        <v>26</v>
      </c>
      <c r="C21" s="19" t="s">
        <v>27</v>
      </c>
      <c r="D21" s="19" t="s">
        <v>70</v>
      </c>
      <c r="E21" s="20">
        <v>45515</v>
      </c>
      <c r="F21" s="19" t="s">
        <v>77</v>
      </c>
      <c r="G21" s="20">
        <v>45406</v>
      </c>
      <c r="H21" s="19" t="s">
        <v>9</v>
      </c>
      <c r="I21" s="19" t="s">
        <v>10</v>
      </c>
      <c r="J21" s="19" t="s">
        <v>48</v>
      </c>
      <c r="K21" s="19">
        <v>1</v>
      </c>
      <c r="L21" s="37">
        <v>125.81</v>
      </c>
      <c r="M21" s="19" t="s">
        <v>38</v>
      </c>
      <c r="N21" s="19">
        <v>47</v>
      </c>
      <c r="O21" s="20">
        <v>45755</v>
      </c>
      <c r="P21" s="19">
        <v>311</v>
      </c>
      <c r="Q21" s="19" t="s">
        <v>23</v>
      </c>
      <c r="S21" s="20">
        <v>45635</v>
      </c>
      <c r="T21" s="19" t="s">
        <v>24</v>
      </c>
      <c r="U21" s="39">
        <f>Table1[[#This Row],[QUANTITY]]*Table1[[#This Row],[PRICE]]</f>
        <v>125.81</v>
      </c>
    </row>
    <row r="22" spans="1:21">
      <c r="A22" s="19" t="s">
        <v>78</v>
      </c>
      <c r="B22" s="19" t="s">
        <v>5</v>
      </c>
      <c r="C22" s="19" t="s">
        <v>16</v>
      </c>
      <c r="D22" s="19" t="s">
        <v>17</v>
      </c>
      <c r="E22" s="20">
        <v>45286</v>
      </c>
      <c r="F22" s="19" t="s">
        <v>79</v>
      </c>
      <c r="G22" s="20">
        <v>45406</v>
      </c>
      <c r="H22" s="19" t="s">
        <v>29</v>
      </c>
      <c r="I22" s="19" t="s">
        <v>10</v>
      </c>
      <c r="J22" s="19" t="s">
        <v>48</v>
      </c>
      <c r="K22" s="19">
        <v>1</v>
      </c>
      <c r="L22" s="37">
        <v>1492.01</v>
      </c>
      <c r="M22" s="19" t="s">
        <v>22</v>
      </c>
      <c r="N22" s="19">
        <v>28</v>
      </c>
      <c r="O22" s="20">
        <v>45725</v>
      </c>
      <c r="P22" s="19">
        <v>433</v>
      </c>
      <c r="Q22" s="19" t="s">
        <v>23</v>
      </c>
      <c r="S22" s="20">
        <v>45559</v>
      </c>
      <c r="T22" s="19" t="s">
        <v>24</v>
      </c>
      <c r="U22" s="39">
        <f>Table1[[#This Row],[QUANTITY]]*Table1[[#This Row],[PRICE]]</f>
        <v>1492.01</v>
      </c>
    </row>
    <row r="23" spans="1:21">
      <c r="A23" s="19" t="s">
        <v>80</v>
      </c>
      <c r="B23" s="19" t="s">
        <v>46</v>
      </c>
      <c r="C23" s="19" t="s">
        <v>16</v>
      </c>
      <c r="D23" s="19" t="s">
        <v>70</v>
      </c>
      <c r="E23" s="20">
        <v>45784</v>
      </c>
      <c r="F23" s="19" t="s">
        <v>81</v>
      </c>
      <c r="G23" s="20">
        <v>45406</v>
      </c>
      <c r="H23" s="19" t="s">
        <v>19</v>
      </c>
      <c r="I23" s="19" t="s">
        <v>37</v>
      </c>
      <c r="J23" s="19" t="s">
        <v>21</v>
      </c>
      <c r="K23" s="19">
        <v>4</v>
      </c>
      <c r="L23" s="37">
        <v>1498.16</v>
      </c>
      <c r="M23" s="19" t="s">
        <v>22</v>
      </c>
      <c r="N23" s="19">
        <v>42</v>
      </c>
      <c r="O23" s="20">
        <v>45638</v>
      </c>
      <c r="P23" s="19">
        <v>446</v>
      </c>
      <c r="Q23" s="19" t="s">
        <v>23</v>
      </c>
      <c r="R23" s="19">
        <v>4</v>
      </c>
      <c r="S23" s="20">
        <v>45606</v>
      </c>
      <c r="T23" s="19" t="s">
        <v>14</v>
      </c>
      <c r="U23" s="39">
        <f>Table1[[#This Row],[QUANTITY]]*Table1[[#This Row],[PRICE]]</f>
        <v>5992.64</v>
      </c>
    </row>
    <row r="24" spans="1:21">
      <c r="A24" s="19" t="s">
        <v>82</v>
      </c>
      <c r="B24" s="19" t="s">
        <v>46</v>
      </c>
      <c r="C24" s="19" t="s">
        <v>6</v>
      </c>
      <c r="D24" s="19" t="s">
        <v>53</v>
      </c>
      <c r="E24" s="20">
        <v>45384</v>
      </c>
      <c r="F24" s="19" t="s">
        <v>83</v>
      </c>
      <c r="G24" s="20">
        <v>45406</v>
      </c>
      <c r="H24" s="19" t="s">
        <v>29</v>
      </c>
      <c r="I24" s="19" t="s">
        <v>55</v>
      </c>
      <c r="J24" s="19" t="s">
        <v>21</v>
      </c>
      <c r="K24" s="19">
        <v>4</v>
      </c>
      <c r="L24" s="37">
        <v>793.19</v>
      </c>
      <c r="M24" s="19" t="s">
        <v>12</v>
      </c>
      <c r="N24" s="19">
        <v>32</v>
      </c>
      <c r="O24" s="20">
        <v>45693</v>
      </c>
      <c r="P24" s="19">
        <v>133</v>
      </c>
      <c r="Q24" s="19" t="s">
        <v>23</v>
      </c>
      <c r="R24" s="19">
        <v>1</v>
      </c>
      <c r="S24" s="20">
        <v>45528</v>
      </c>
      <c r="T24" s="19" t="s">
        <v>14</v>
      </c>
      <c r="U24" s="39">
        <f>Table1[[#This Row],[QUANTITY]]*Table1[[#This Row],[PRICE]]</f>
        <v>3172.76</v>
      </c>
    </row>
    <row r="25" spans="1:21">
      <c r="A25" s="19" t="s">
        <v>84</v>
      </c>
      <c r="B25" s="19" t="s">
        <v>46</v>
      </c>
      <c r="C25" s="19" t="s">
        <v>6</v>
      </c>
      <c r="D25" s="19" t="s">
        <v>17</v>
      </c>
      <c r="E25" s="20">
        <v>45596</v>
      </c>
      <c r="F25" s="19" t="s">
        <v>85</v>
      </c>
      <c r="G25" s="20">
        <v>45406</v>
      </c>
      <c r="H25" s="19" t="s">
        <v>29</v>
      </c>
      <c r="I25" s="19" t="s">
        <v>10</v>
      </c>
      <c r="J25" s="19" t="s">
        <v>48</v>
      </c>
      <c r="K25" s="19">
        <v>5</v>
      </c>
      <c r="L25" s="37">
        <v>322.77</v>
      </c>
      <c r="M25" s="19" t="s">
        <v>38</v>
      </c>
      <c r="N25" s="19">
        <v>48</v>
      </c>
      <c r="O25" s="20">
        <v>45660</v>
      </c>
      <c r="P25" s="19">
        <v>405</v>
      </c>
      <c r="Q25" s="19" t="s">
        <v>13</v>
      </c>
      <c r="R25" s="19">
        <v>1</v>
      </c>
      <c r="S25" s="20">
        <v>45653</v>
      </c>
      <c r="T25" s="19" t="s">
        <v>34</v>
      </c>
      <c r="U25" s="39">
        <f>Table1[[#This Row],[QUANTITY]]*Table1[[#This Row],[PRICE]]</f>
        <v>1613.85</v>
      </c>
    </row>
    <row r="26" spans="1:21">
      <c r="A26" s="19" t="s">
        <v>86</v>
      </c>
      <c r="B26" s="19" t="s">
        <v>5</v>
      </c>
      <c r="C26" s="19" t="s">
        <v>6</v>
      </c>
      <c r="D26" s="19" t="s">
        <v>70</v>
      </c>
      <c r="E26" s="20">
        <v>45497</v>
      </c>
      <c r="F26" s="19" t="s">
        <v>87</v>
      </c>
      <c r="G26" s="20">
        <v>45407</v>
      </c>
      <c r="H26" s="19" t="s">
        <v>9</v>
      </c>
      <c r="I26" s="19" t="s">
        <v>20</v>
      </c>
      <c r="J26" s="19" t="s">
        <v>11</v>
      </c>
      <c r="K26" s="19">
        <v>2</v>
      </c>
      <c r="L26" s="37">
        <v>1255.3399999999999</v>
      </c>
      <c r="M26" s="19" t="s">
        <v>38</v>
      </c>
      <c r="N26" s="19">
        <v>42</v>
      </c>
      <c r="O26" s="20">
        <v>45620</v>
      </c>
      <c r="P26" s="19">
        <v>102</v>
      </c>
      <c r="Q26" s="19" t="s">
        <v>13</v>
      </c>
      <c r="S26" s="20">
        <v>45784</v>
      </c>
      <c r="T26" s="19" t="s">
        <v>24</v>
      </c>
      <c r="U26" s="39">
        <f>Table1[[#This Row],[QUANTITY]]*Table1[[#This Row],[PRICE]]</f>
        <v>2510.6799999999998</v>
      </c>
    </row>
    <row r="27" spans="1:21">
      <c r="A27" s="19" t="s">
        <v>88</v>
      </c>
      <c r="B27" s="19" t="s">
        <v>46</v>
      </c>
      <c r="C27" s="19" t="s">
        <v>27</v>
      </c>
      <c r="D27" s="19" t="s">
        <v>70</v>
      </c>
      <c r="E27" s="20">
        <v>45246</v>
      </c>
      <c r="F27" s="19" t="s">
        <v>89</v>
      </c>
      <c r="G27" s="20">
        <v>45407</v>
      </c>
      <c r="H27" s="19" t="s">
        <v>19</v>
      </c>
      <c r="I27" s="19" t="s">
        <v>20</v>
      </c>
      <c r="J27" s="19" t="s">
        <v>11</v>
      </c>
      <c r="K27" s="19">
        <v>2</v>
      </c>
      <c r="L27" s="37">
        <v>1048.17</v>
      </c>
      <c r="M27" s="19" t="s">
        <v>12</v>
      </c>
      <c r="N27" s="19">
        <v>9</v>
      </c>
      <c r="O27" s="20">
        <v>45752</v>
      </c>
      <c r="P27" s="19">
        <v>407</v>
      </c>
      <c r="Q27" s="19" t="s">
        <v>23</v>
      </c>
      <c r="R27" s="19">
        <v>3</v>
      </c>
      <c r="S27" s="20">
        <v>45624</v>
      </c>
      <c r="T27" s="19" t="s">
        <v>14</v>
      </c>
      <c r="U27" s="39">
        <f>Table1[[#This Row],[QUANTITY]]*Table1[[#This Row],[PRICE]]</f>
        <v>2096.34</v>
      </c>
    </row>
    <row r="28" spans="1:21">
      <c r="A28" s="19" t="s">
        <v>90</v>
      </c>
      <c r="B28" s="19" t="s">
        <v>5</v>
      </c>
      <c r="C28" s="19" t="s">
        <v>27</v>
      </c>
      <c r="D28" s="19" t="s">
        <v>31</v>
      </c>
      <c r="E28" s="20">
        <v>45475</v>
      </c>
      <c r="F28" s="19" t="s">
        <v>91</v>
      </c>
      <c r="G28" s="20">
        <v>45407</v>
      </c>
      <c r="H28" s="19" t="s">
        <v>44</v>
      </c>
      <c r="I28" s="19" t="s">
        <v>37</v>
      </c>
      <c r="J28" s="19" t="s">
        <v>11</v>
      </c>
      <c r="K28" s="19">
        <v>5</v>
      </c>
      <c r="L28" s="37">
        <v>1315.23</v>
      </c>
      <c r="M28" s="19" t="s">
        <v>38</v>
      </c>
      <c r="N28" s="19">
        <v>21</v>
      </c>
      <c r="O28" s="20">
        <v>45742</v>
      </c>
      <c r="P28" s="19">
        <v>155</v>
      </c>
      <c r="Q28" s="19" t="s">
        <v>23</v>
      </c>
      <c r="R28" s="19">
        <v>1</v>
      </c>
      <c r="S28" s="20">
        <v>45650</v>
      </c>
      <c r="T28" s="19" t="s">
        <v>14</v>
      </c>
      <c r="U28" s="39">
        <f>Table1[[#This Row],[QUANTITY]]*Table1[[#This Row],[PRICE]]</f>
        <v>6576.15</v>
      </c>
    </row>
    <row r="29" spans="1:21">
      <c r="A29" s="19" t="s">
        <v>92</v>
      </c>
      <c r="B29" s="19" t="s">
        <v>26</v>
      </c>
      <c r="C29" s="19" t="s">
        <v>27</v>
      </c>
      <c r="D29" s="19" t="s">
        <v>31</v>
      </c>
      <c r="E29" s="20">
        <v>45837</v>
      </c>
      <c r="F29" s="19" t="s">
        <v>93</v>
      </c>
      <c r="G29" s="20">
        <v>45407</v>
      </c>
      <c r="H29" s="19" t="s">
        <v>9</v>
      </c>
      <c r="I29" s="19" t="s">
        <v>55</v>
      </c>
      <c r="J29" s="19" t="s">
        <v>21</v>
      </c>
      <c r="K29" s="19">
        <v>1</v>
      </c>
      <c r="L29" s="37">
        <v>624.54999999999995</v>
      </c>
      <c r="M29" s="19" t="s">
        <v>12</v>
      </c>
      <c r="N29" s="19">
        <v>13</v>
      </c>
      <c r="O29" s="20">
        <v>45676</v>
      </c>
      <c r="P29" s="19">
        <v>214</v>
      </c>
      <c r="Q29" s="19" t="s">
        <v>23</v>
      </c>
      <c r="S29" s="20">
        <v>45591</v>
      </c>
      <c r="T29" s="19" t="s">
        <v>24</v>
      </c>
      <c r="U29" s="39">
        <f>Table1[[#This Row],[QUANTITY]]*Table1[[#This Row],[PRICE]]</f>
        <v>624.54999999999995</v>
      </c>
    </row>
    <row r="30" spans="1:21">
      <c r="A30" s="19" t="s">
        <v>94</v>
      </c>
      <c r="B30" s="19" t="s">
        <v>5</v>
      </c>
      <c r="C30" s="19" t="s">
        <v>27</v>
      </c>
      <c r="D30" s="19" t="s">
        <v>70</v>
      </c>
      <c r="E30" s="20">
        <v>45808</v>
      </c>
      <c r="F30" s="19" t="s">
        <v>95</v>
      </c>
      <c r="G30" s="20">
        <v>45407</v>
      </c>
      <c r="H30" s="19" t="s">
        <v>44</v>
      </c>
      <c r="I30" s="19" t="s">
        <v>55</v>
      </c>
      <c r="J30" s="19" t="s">
        <v>11</v>
      </c>
      <c r="K30" s="19">
        <v>2</v>
      </c>
      <c r="L30" s="37">
        <v>751.25</v>
      </c>
      <c r="M30" s="19" t="s">
        <v>38</v>
      </c>
      <c r="N30" s="19">
        <v>1</v>
      </c>
      <c r="O30" s="20">
        <v>45860</v>
      </c>
      <c r="P30" s="19">
        <v>77</v>
      </c>
      <c r="Q30" s="19" t="s">
        <v>13</v>
      </c>
      <c r="R30" s="19">
        <v>5</v>
      </c>
      <c r="S30" s="20">
        <v>45624</v>
      </c>
      <c r="T30" s="19" t="s">
        <v>14</v>
      </c>
      <c r="U30" s="39">
        <f>Table1[[#This Row],[QUANTITY]]*Table1[[#This Row],[PRICE]]</f>
        <v>1502.5</v>
      </c>
    </row>
    <row r="31" spans="1:21">
      <c r="A31" s="19" t="s">
        <v>96</v>
      </c>
      <c r="B31" s="19" t="s">
        <v>46</v>
      </c>
      <c r="C31" s="19" t="s">
        <v>27</v>
      </c>
      <c r="D31" s="19" t="s">
        <v>70</v>
      </c>
      <c r="E31" s="20">
        <v>45198</v>
      </c>
      <c r="F31" s="19" t="s">
        <v>97</v>
      </c>
      <c r="G31" s="20">
        <v>45407</v>
      </c>
      <c r="H31" s="19" t="s">
        <v>29</v>
      </c>
      <c r="I31" s="19" t="s">
        <v>20</v>
      </c>
      <c r="J31" s="19" t="s">
        <v>48</v>
      </c>
      <c r="K31" s="19">
        <v>3</v>
      </c>
      <c r="L31" s="37">
        <v>726.99</v>
      </c>
      <c r="M31" s="19" t="s">
        <v>12</v>
      </c>
      <c r="N31" s="19">
        <v>28</v>
      </c>
      <c r="O31" s="20">
        <v>45544</v>
      </c>
      <c r="P31" s="19">
        <v>192</v>
      </c>
      <c r="Q31" s="19" t="s">
        <v>13</v>
      </c>
      <c r="R31" s="19">
        <v>3</v>
      </c>
      <c r="S31" s="20">
        <v>45605</v>
      </c>
      <c r="T31" s="19" t="s">
        <v>14</v>
      </c>
      <c r="U31" s="39">
        <f>Table1[[#This Row],[QUANTITY]]*Table1[[#This Row],[PRICE]]</f>
        <v>2180.9700000000003</v>
      </c>
    </row>
    <row r="32" spans="1:21">
      <c r="A32" s="19" t="s">
        <v>98</v>
      </c>
      <c r="B32" s="19" t="s">
        <v>46</v>
      </c>
      <c r="C32" s="19" t="s">
        <v>6</v>
      </c>
      <c r="D32" s="19" t="s">
        <v>17</v>
      </c>
      <c r="E32" s="20">
        <v>45601</v>
      </c>
      <c r="F32" s="19" t="s">
        <v>99</v>
      </c>
      <c r="G32" s="20">
        <v>45407</v>
      </c>
      <c r="H32" s="19" t="s">
        <v>19</v>
      </c>
      <c r="I32" s="19" t="s">
        <v>20</v>
      </c>
      <c r="J32" s="19" t="s">
        <v>21</v>
      </c>
      <c r="K32" s="19">
        <v>1</v>
      </c>
      <c r="L32" s="37">
        <v>654.82000000000005</v>
      </c>
      <c r="M32" s="19" t="s">
        <v>22</v>
      </c>
      <c r="N32" s="19">
        <v>47</v>
      </c>
      <c r="O32" s="20">
        <v>45829</v>
      </c>
      <c r="P32" s="19">
        <v>177</v>
      </c>
      <c r="Q32" s="19" t="s">
        <v>23</v>
      </c>
      <c r="R32" s="19">
        <v>1</v>
      </c>
      <c r="S32" s="20">
        <v>45568</v>
      </c>
      <c r="T32" s="19" t="s">
        <v>34</v>
      </c>
      <c r="U32" s="39">
        <f>Table1[[#This Row],[QUANTITY]]*Table1[[#This Row],[PRICE]]</f>
        <v>654.82000000000005</v>
      </c>
    </row>
    <row r="33" spans="1:21">
      <c r="A33" s="19" t="s">
        <v>100</v>
      </c>
      <c r="B33" s="19" t="s">
        <v>46</v>
      </c>
      <c r="C33" s="19" t="s">
        <v>16</v>
      </c>
      <c r="D33" s="19" t="s">
        <v>53</v>
      </c>
      <c r="E33" s="20">
        <v>45487</v>
      </c>
      <c r="F33" s="19" t="s">
        <v>101</v>
      </c>
      <c r="G33" s="20">
        <v>45407</v>
      </c>
      <c r="H33" s="19" t="s">
        <v>29</v>
      </c>
      <c r="I33" s="19" t="s">
        <v>37</v>
      </c>
      <c r="J33" s="19" t="s">
        <v>41</v>
      </c>
      <c r="K33" s="19">
        <v>3</v>
      </c>
      <c r="L33" s="37">
        <v>341.78</v>
      </c>
      <c r="M33" s="19" t="s">
        <v>22</v>
      </c>
      <c r="N33" s="19">
        <v>19</v>
      </c>
      <c r="O33" s="20">
        <v>45605</v>
      </c>
      <c r="P33" s="19">
        <v>3</v>
      </c>
      <c r="Q33" s="19" t="s">
        <v>13</v>
      </c>
      <c r="R33" s="19">
        <v>2</v>
      </c>
      <c r="S33" s="20">
        <v>45793</v>
      </c>
      <c r="T33" s="19" t="s">
        <v>34</v>
      </c>
      <c r="U33" s="39">
        <f>Table1[[#This Row],[QUANTITY]]*Table1[[#This Row],[PRICE]]</f>
        <v>1025.3399999999999</v>
      </c>
    </row>
    <row r="34" spans="1:21">
      <c r="A34" s="19" t="s">
        <v>102</v>
      </c>
      <c r="B34" s="19" t="s">
        <v>26</v>
      </c>
      <c r="C34" s="19" t="s">
        <v>27</v>
      </c>
      <c r="D34" s="19" t="s">
        <v>53</v>
      </c>
      <c r="E34" s="20">
        <v>45573</v>
      </c>
      <c r="F34" s="19" t="s">
        <v>103</v>
      </c>
      <c r="G34" s="20">
        <v>45407</v>
      </c>
      <c r="H34" s="19" t="s">
        <v>29</v>
      </c>
      <c r="I34" s="19" t="s">
        <v>10</v>
      </c>
      <c r="J34" s="19" t="s">
        <v>21</v>
      </c>
      <c r="K34" s="19">
        <v>2</v>
      </c>
      <c r="L34" s="37">
        <v>1226.31</v>
      </c>
      <c r="M34" s="19" t="s">
        <v>38</v>
      </c>
      <c r="N34" s="19">
        <v>13</v>
      </c>
      <c r="O34" s="20">
        <v>45605</v>
      </c>
      <c r="P34" s="19">
        <v>272</v>
      </c>
      <c r="Q34" s="19" t="s">
        <v>13</v>
      </c>
      <c r="R34" s="19">
        <v>4</v>
      </c>
      <c r="S34" s="20">
        <v>45851</v>
      </c>
      <c r="T34" s="19" t="s">
        <v>34</v>
      </c>
      <c r="U34" s="39">
        <f>Table1[[#This Row],[QUANTITY]]*Table1[[#This Row],[PRICE]]</f>
        <v>2452.62</v>
      </c>
    </row>
    <row r="35" spans="1:21">
      <c r="A35" s="19" t="s">
        <v>104</v>
      </c>
      <c r="B35" s="19" t="s">
        <v>26</v>
      </c>
      <c r="C35" s="19" t="s">
        <v>16</v>
      </c>
      <c r="D35" s="19" t="s">
        <v>53</v>
      </c>
      <c r="E35" s="20">
        <v>45367</v>
      </c>
      <c r="F35" s="19" t="s">
        <v>105</v>
      </c>
      <c r="G35" s="20">
        <v>45407</v>
      </c>
      <c r="H35" s="19" t="s">
        <v>29</v>
      </c>
      <c r="I35" s="19" t="s">
        <v>51</v>
      </c>
      <c r="J35" s="19" t="s">
        <v>11</v>
      </c>
      <c r="K35" s="19">
        <v>5</v>
      </c>
      <c r="L35" s="37">
        <v>466.95</v>
      </c>
      <c r="M35" s="19" t="s">
        <v>38</v>
      </c>
      <c r="N35" s="19">
        <v>15</v>
      </c>
      <c r="O35" s="20">
        <v>45818</v>
      </c>
      <c r="P35" s="19">
        <v>436</v>
      </c>
      <c r="Q35" s="19" t="s">
        <v>13</v>
      </c>
      <c r="R35" s="19">
        <v>3</v>
      </c>
      <c r="S35" s="20">
        <v>45822</v>
      </c>
      <c r="T35" s="19" t="s">
        <v>34</v>
      </c>
      <c r="U35" s="39">
        <f>Table1[[#This Row],[QUANTITY]]*Table1[[#This Row],[PRICE]]</f>
        <v>2334.75</v>
      </c>
    </row>
    <row r="36" spans="1:21">
      <c r="A36" s="19" t="s">
        <v>106</v>
      </c>
      <c r="B36" s="19" t="s">
        <v>26</v>
      </c>
      <c r="C36" s="19" t="s">
        <v>16</v>
      </c>
      <c r="D36" s="19" t="s">
        <v>70</v>
      </c>
      <c r="E36" s="20">
        <v>45383</v>
      </c>
      <c r="F36" s="19" t="s">
        <v>107</v>
      </c>
      <c r="G36" s="20">
        <v>45408</v>
      </c>
      <c r="H36" s="19" t="s">
        <v>9</v>
      </c>
      <c r="I36" s="19" t="s">
        <v>20</v>
      </c>
      <c r="J36" s="19" t="s">
        <v>33</v>
      </c>
      <c r="K36" s="19">
        <v>1</v>
      </c>
      <c r="L36" s="37">
        <v>1098.54</v>
      </c>
      <c r="M36" s="19" t="s">
        <v>12</v>
      </c>
      <c r="N36" s="19">
        <v>13</v>
      </c>
      <c r="O36" s="20">
        <v>45813</v>
      </c>
      <c r="P36" s="19">
        <v>15</v>
      </c>
      <c r="Q36" s="19" t="s">
        <v>23</v>
      </c>
      <c r="R36" s="19">
        <v>4</v>
      </c>
      <c r="S36" s="20">
        <v>45643</v>
      </c>
      <c r="T36" s="19" t="s">
        <v>34</v>
      </c>
      <c r="U36" s="39">
        <f>Table1[[#This Row],[QUANTITY]]*Table1[[#This Row],[PRICE]]</f>
        <v>1098.54</v>
      </c>
    </row>
    <row r="37" spans="1:21">
      <c r="A37" s="19" t="s">
        <v>108</v>
      </c>
      <c r="B37" s="19" t="s">
        <v>26</v>
      </c>
      <c r="C37" s="19" t="s">
        <v>16</v>
      </c>
      <c r="D37" s="19" t="s">
        <v>7</v>
      </c>
      <c r="E37" s="20">
        <v>45390</v>
      </c>
      <c r="F37" s="19" t="s">
        <v>109</v>
      </c>
      <c r="G37" s="20">
        <v>45408</v>
      </c>
      <c r="H37" s="19" t="s">
        <v>62</v>
      </c>
      <c r="I37" s="19" t="s">
        <v>55</v>
      </c>
      <c r="J37" s="19" t="s">
        <v>21</v>
      </c>
      <c r="K37" s="19">
        <v>4</v>
      </c>
      <c r="L37" s="37">
        <v>285.58999999999997</v>
      </c>
      <c r="M37" s="19" t="s">
        <v>22</v>
      </c>
      <c r="N37" s="19">
        <v>45</v>
      </c>
      <c r="O37" s="20">
        <v>45650</v>
      </c>
      <c r="P37" s="19">
        <v>263</v>
      </c>
      <c r="Q37" s="19" t="s">
        <v>13</v>
      </c>
      <c r="R37" s="19">
        <v>4</v>
      </c>
      <c r="S37" s="20">
        <v>45537</v>
      </c>
      <c r="T37" s="19" t="s">
        <v>34</v>
      </c>
      <c r="U37" s="39">
        <f>Table1[[#This Row],[QUANTITY]]*Table1[[#This Row],[PRICE]]</f>
        <v>1142.3599999999999</v>
      </c>
    </row>
    <row r="38" spans="1:21">
      <c r="A38" s="19" t="s">
        <v>110</v>
      </c>
      <c r="B38" s="19" t="s">
        <v>5</v>
      </c>
      <c r="C38" s="19" t="s">
        <v>27</v>
      </c>
      <c r="D38" s="19" t="s">
        <v>7</v>
      </c>
      <c r="E38" s="20">
        <v>45429</v>
      </c>
      <c r="F38" s="19" t="s">
        <v>111</v>
      </c>
      <c r="G38" s="20">
        <v>45408</v>
      </c>
      <c r="H38" s="19" t="s">
        <v>19</v>
      </c>
      <c r="I38" s="19" t="s">
        <v>10</v>
      </c>
      <c r="J38" s="19" t="s">
        <v>11</v>
      </c>
      <c r="K38" s="19">
        <v>2</v>
      </c>
      <c r="L38" s="37">
        <v>1283.58</v>
      </c>
      <c r="M38" s="19" t="s">
        <v>12</v>
      </c>
      <c r="N38" s="19">
        <v>49</v>
      </c>
      <c r="O38" s="20">
        <v>45678</v>
      </c>
      <c r="P38" s="19">
        <v>375</v>
      </c>
      <c r="Q38" s="19" t="s">
        <v>13</v>
      </c>
      <c r="R38" s="19">
        <v>1</v>
      </c>
      <c r="S38" s="20">
        <v>45644</v>
      </c>
      <c r="T38" s="19" t="s">
        <v>14</v>
      </c>
      <c r="U38" s="39">
        <f>Table1[[#This Row],[QUANTITY]]*Table1[[#This Row],[PRICE]]</f>
        <v>2567.16</v>
      </c>
    </row>
    <row r="39" spans="1:21">
      <c r="A39" s="19" t="s">
        <v>112</v>
      </c>
      <c r="B39" s="19" t="s">
        <v>26</v>
      </c>
      <c r="C39" s="19" t="s">
        <v>27</v>
      </c>
      <c r="D39" s="19" t="s">
        <v>31</v>
      </c>
      <c r="E39" s="20">
        <v>45328</v>
      </c>
      <c r="F39" s="19" t="s">
        <v>113</v>
      </c>
      <c r="G39" s="20">
        <v>45408</v>
      </c>
      <c r="H39" s="19" t="s">
        <v>44</v>
      </c>
      <c r="I39" s="19" t="s">
        <v>20</v>
      </c>
      <c r="J39" s="19" t="s">
        <v>48</v>
      </c>
      <c r="K39" s="19">
        <v>1</v>
      </c>
      <c r="L39" s="37">
        <v>240.55</v>
      </c>
      <c r="M39" s="19" t="s">
        <v>12</v>
      </c>
      <c r="N39" s="19">
        <v>47</v>
      </c>
      <c r="O39" s="20">
        <v>45853</v>
      </c>
      <c r="P39" s="19">
        <v>412</v>
      </c>
      <c r="Q39" s="19" t="s">
        <v>13</v>
      </c>
      <c r="S39" s="20">
        <v>45815</v>
      </c>
      <c r="T39" s="19" t="s">
        <v>24</v>
      </c>
      <c r="U39" s="39">
        <f>Table1[[#This Row],[QUANTITY]]*Table1[[#This Row],[PRICE]]</f>
        <v>240.55</v>
      </c>
    </row>
    <row r="40" spans="1:21">
      <c r="A40" s="19" t="s">
        <v>114</v>
      </c>
      <c r="B40" s="19" t="s">
        <v>5</v>
      </c>
      <c r="C40" s="19" t="s">
        <v>16</v>
      </c>
      <c r="D40" s="19" t="s">
        <v>70</v>
      </c>
      <c r="E40" s="20">
        <v>45527</v>
      </c>
      <c r="F40" s="19" t="s">
        <v>115</v>
      </c>
      <c r="G40" s="20">
        <v>45408</v>
      </c>
      <c r="H40" s="19" t="s">
        <v>44</v>
      </c>
      <c r="I40" s="19" t="s">
        <v>10</v>
      </c>
      <c r="J40" s="19" t="s">
        <v>33</v>
      </c>
      <c r="K40" s="19">
        <v>5</v>
      </c>
      <c r="L40" s="37">
        <v>481.17</v>
      </c>
      <c r="M40" s="19" t="s">
        <v>38</v>
      </c>
      <c r="N40" s="19">
        <v>48</v>
      </c>
      <c r="O40" s="20">
        <v>45718</v>
      </c>
      <c r="P40" s="19">
        <v>391</v>
      </c>
      <c r="Q40" s="19" t="s">
        <v>13</v>
      </c>
      <c r="S40" s="20">
        <v>45578</v>
      </c>
      <c r="T40" s="19" t="s">
        <v>24</v>
      </c>
      <c r="U40" s="39">
        <f>Table1[[#This Row],[QUANTITY]]*Table1[[#This Row],[PRICE]]</f>
        <v>2405.85</v>
      </c>
    </row>
    <row r="41" spans="1:21">
      <c r="A41" s="19" t="s">
        <v>116</v>
      </c>
      <c r="B41" s="19" t="s">
        <v>5</v>
      </c>
      <c r="C41" s="19" t="s">
        <v>16</v>
      </c>
      <c r="D41" s="19" t="s">
        <v>70</v>
      </c>
      <c r="E41" s="20">
        <v>45705</v>
      </c>
      <c r="F41" s="19" t="s">
        <v>117</v>
      </c>
      <c r="G41" s="20">
        <v>45408</v>
      </c>
      <c r="H41" s="19" t="s">
        <v>62</v>
      </c>
      <c r="I41" s="19" t="s">
        <v>37</v>
      </c>
      <c r="J41" s="19" t="s">
        <v>11</v>
      </c>
      <c r="K41" s="19">
        <v>3</v>
      </c>
      <c r="L41" s="37">
        <v>1387.34</v>
      </c>
      <c r="M41" s="19" t="s">
        <v>38</v>
      </c>
      <c r="N41" s="19">
        <v>40</v>
      </c>
      <c r="O41" s="20">
        <v>45564</v>
      </c>
      <c r="P41" s="19">
        <v>51</v>
      </c>
      <c r="Q41" s="19" t="s">
        <v>23</v>
      </c>
      <c r="S41" s="20">
        <v>45746</v>
      </c>
      <c r="T41" s="19" t="s">
        <v>24</v>
      </c>
      <c r="U41" s="39">
        <f>Table1[[#This Row],[QUANTITY]]*Table1[[#This Row],[PRICE]]</f>
        <v>4162.0199999999995</v>
      </c>
    </row>
    <row r="42" spans="1:21">
      <c r="A42" s="19" t="s">
        <v>118</v>
      </c>
      <c r="B42" s="19" t="s">
        <v>5</v>
      </c>
      <c r="C42" s="19" t="s">
        <v>27</v>
      </c>
      <c r="D42" s="19" t="s">
        <v>31</v>
      </c>
      <c r="E42" s="20">
        <v>45217</v>
      </c>
      <c r="F42" s="19" t="s">
        <v>119</v>
      </c>
      <c r="G42" s="20">
        <v>45408</v>
      </c>
      <c r="H42" s="19" t="s">
        <v>19</v>
      </c>
      <c r="I42" s="19" t="s">
        <v>51</v>
      </c>
      <c r="J42" s="19" t="s">
        <v>48</v>
      </c>
      <c r="K42" s="19">
        <v>3</v>
      </c>
      <c r="L42" s="37">
        <v>1011.78</v>
      </c>
      <c r="M42" s="19" t="s">
        <v>12</v>
      </c>
      <c r="N42" s="19">
        <v>25</v>
      </c>
      <c r="O42" s="20">
        <v>45568</v>
      </c>
      <c r="P42" s="19">
        <v>39</v>
      </c>
      <c r="Q42" s="19" t="s">
        <v>13</v>
      </c>
      <c r="R42" s="19">
        <v>4</v>
      </c>
      <c r="S42" s="20">
        <v>45839</v>
      </c>
      <c r="T42" s="19" t="s">
        <v>34</v>
      </c>
      <c r="U42" s="39">
        <f>Table1[[#This Row],[QUANTITY]]*Table1[[#This Row],[PRICE]]</f>
        <v>3035.34</v>
      </c>
    </row>
    <row r="43" spans="1:21">
      <c r="A43" s="19" t="s">
        <v>120</v>
      </c>
      <c r="B43" s="19" t="s">
        <v>26</v>
      </c>
      <c r="C43" s="19" t="s">
        <v>6</v>
      </c>
      <c r="D43" s="19" t="s">
        <v>70</v>
      </c>
      <c r="E43" s="20">
        <v>45344</v>
      </c>
      <c r="F43" s="19" t="s">
        <v>121</v>
      </c>
      <c r="G43" s="20">
        <v>45408</v>
      </c>
      <c r="H43" s="19" t="s">
        <v>29</v>
      </c>
      <c r="I43" s="19" t="s">
        <v>10</v>
      </c>
      <c r="J43" s="19" t="s">
        <v>41</v>
      </c>
      <c r="K43" s="19">
        <v>2</v>
      </c>
      <c r="L43" s="37">
        <v>1363.15</v>
      </c>
      <c r="M43" s="19" t="s">
        <v>22</v>
      </c>
      <c r="N43" s="19">
        <v>32</v>
      </c>
      <c r="O43" s="20">
        <v>45663</v>
      </c>
      <c r="P43" s="19">
        <v>471</v>
      </c>
      <c r="Q43" s="19" t="s">
        <v>13</v>
      </c>
      <c r="R43" s="19">
        <v>2</v>
      </c>
      <c r="S43" s="20">
        <v>45572</v>
      </c>
      <c r="T43" s="19" t="s">
        <v>14</v>
      </c>
      <c r="U43" s="39">
        <f>Table1[[#This Row],[QUANTITY]]*Table1[[#This Row],[PRICE]]</f>
        <v>2726.3</v>
      </c>
    </row>
    <row r="44" spans="1:21">
      <c r="A44" s="19" t="s">
        <v>122</v>
      </c>
      <c r="B44" s="19" t="s">
        <v>46</v>
      </c>
      <c r="C44" s="19" t="s">
        <v>27</v>
      </c>
      <c r="D44" s="19" t="s">
        <v>70</v>
      </c>
      <c r="E44" s="20">
        <v>45462</v>
      </c>
      <c r="F44" s="19" t="s">
        <v>123</v>
      </c>
      <c r="G44" s="20">
        <v>45408</v>
      </c>
      <c r="H44" s="19" t="s">
        <v>29</v>
      </c>
      <c r="I44" s="19" t="s">
        <v>37</v>
      </c>
      <c r="J44" s="19" t="s">
        <v>21</v>
      </c>
      <c r="K44" s="19">
        <v>3</v>
      </c>
      <c r="L44" s="37">
        <v>1204.55</v>
      </c>
      <c r="M44" s="19" t="s">
        <v>38</v>
      </c>
      <c r="N44" s="19">
        <v>47</v>
      </c>
      <c r="O44" s="20">
        <v>45754</v>
      </c>
      <c r="P44" s="19">
        <v>400</v>
      </c>
      <c r="Q44" s="19" t="s">
        <v>13</v>
      </c>
      <c r="R44" s="19">
        <v>3</v>
      </c>
      <c r="S44" s="20">
        <v>45779</v>
      </c>
      <c r="T44" s="19" t="s">
        <v>34</v>
      </c>
      <c r="U44" s="39">
        <f>Table1[[#This Row],[QUANTITY]]*Table1[[#This Row],[PRICE]]</f>
        <v>3613.6499999999996</v>
      </c>
    </row>
    <row r="45" spans="1:21">
      <c r="A45" s="19" t="s">
        <v>124</v>
      </c>
      <c r="B45" s="19" t="s">
        <v>5</v>
      </c>
      <c r="C45" s="19" t="s">
        <v>6</v>
      </c>
      <c r="D45" s="19" t="s">
        <v>17</v>
      </c>
      <c r="E45" s="20">
        <v>45433</v>
      </c>
      <c r="F45" s="19" t="s">
        <v>125</v>
      </c>
      <c r="G45" s="20">
        <v>45409</v>
      </c>
      <c r="H45" s="19" t="s">
        <v>62</v>
      </c>
      <c r="I45" s="19" t="s">
        <v>37</v>
      </c>
      <c r="J45" s="19" t="s">
        <v>11</v>
      </c>
      <c r="K45" s="19">
        <v>2</v>
      </c>
      <c r="L45" s="37">
        <v>966.48</v>
      </c>
      <c r="M45" s="19" t="s">
        <v>38</v>
      </c>
      <c r="N45" s="19">
        <v>5</v>
      </c>
      <c r="O45" s="20">
        <v>45778</v>
      </c>
      <c r="P45" s="19">
        <v>195</v>
      </c>
      <c r="Q45" s="19" t="s">
        <v>23</v>
      </c>
      <c r="R45" s="19">
        <v>2</v>
      </c>
      <c r="S45" s="20">
        <v>45849</v>
      </c>
      <c r="T45" s="19" t="s">
        <v>34</v>
      </c>
      <c r="U45" s="39">
        <f>Table1[[#This Row],[QUANTITY]]*Table1[[#This Row],[PRICE]]</f>
        <v>1932.96</v>
      </c>
    </row>
    <row r="46" spans="1:21">
      <c r="A46" s="19" t="s">
        <v>126</v>
      </c>
      <c r="B46" s="19" t="s">
        <v>5</v>
      </c>
      <c r="C46" s="19" t="s">
        <v>6</v>
      </c>
      <c r="D46" s="19" t="s">
        <v>53</v>
      </c>
      <c r="E46" s="20">
        <v>45389</v>
      </c>
      <c r="F46" s="19" t="s">
        <v>127</v>
      </c>
      <c r="G46" s="20">
        <v>45409</v>
      </c>
      <c r="H46" s="19" t="s">
        <v>29</v>
      </c>
      <c r="I46" s="19" t="s">
        <v>20</v>
      </c>
      <c r="J46" s="19" t="s">
        <v>21</v>
      </c>
      <c r="K46" s="19">
        <v>2</v>
      </c>
      <c r="L46" s="37">
        <v>1333.77</v>
      </c>
      <c r="M46" s="19" t="s">
        <v>22</v>
      </c>
      <c r="N46" s="19">
        <v>26</v>
      </c>
      <c r="O46" s="20">
        <v>45731</v>
      </c>
      <c r="P46" s="19">
        <v>272</v>
      </c>
      <c r="Q46" s="19" t="s">
        <v>23</v>
      </c>
      <c r="S46" s="20">
        <v>45855</v>
      </c>
      <c r="T46" s="19" t="s">
        <v>24</v>
      </c>
      <c r="U46" s="39">
        <f>Table1[[#This Row],[QUANTITY]]*Table1[[#This Row],[PRICE]]</f>
        <v>2667.54</v>
      </c>
    </row>
    <row r="47" spans="1:21">
      <c r="A47" s="19" t="s">
        <v>128</v>
      </c>
      <c r="B47" s="19" t="s">
        <v>5</v>
      </c>
      <c r="C47" s="19" t="s">
        <v>27</v>
      </c>
      <c r="D47" s="19" t="s">
        <v>53</v>
      </c>
      <c r="E47" s="20">
        <v>45206</v>
      </c>
      <c r="F47" s="19" t="s">
        <v>129</v>
      </c>
      <c r="G47" s="20">
        <v>45409</v>
      </c>
      <c r="H47" s="19" t="s">
        <v>9</v>
      </c>
      <c r="I47" s="19" t="s">
        <v>55</v>
      </c>
      <c r="J47" s="19" t="s">
        <v>33</v>
      </c>
      <c r="K47" s="19">
        <v>3</v>
      </c>
      <c r="L47" s="37">
        <v>623.05999999999995</v>
      </c>
      <c r="M47" s="19" t="s">
        <v>22</v>
      </c>
      <c r="N47" s="19">
        <v>26</v>
      </c>
      <c r="O47" s="20">
        <v>45764</v>
      </c>
      <c r="P47" s="19">
        <v>440</v>
      </c>
      <c r="Q47" s="19" t="s">
        <v>13</v>
      </c>
      <c r="R47" s="19">
        <v>4</v>
      </c>
      <c r="S47" s="20">
        <v>45702</v>
      </c>
      <c r="T47" s="19" t="s">
        <v>14</v>
      </c>
      <c r="U47" s="39">
        <f>Table1[[#This Row],[QUANTITY]]*Table1[[#This Row],[PRICE]]</f>
        <v>1869.1799999999998</v>
      </c>
    </row>
    <row r="48" spans="1:21">
      <c r="A48" s="19" t="s">
        <v>130</v>
      </c>
      <c r="B48" s="19" t="s">
        <v>5</v>
      </c>
      <c r="C48" s="19" t="s">
        <v>16</v>
      </c>
      <c r="D48" s="19" t="s">
        <v>7</v>
      </c>
      <c r="E48" s="20">
        <v>45788</v>
      </c>
      <c r="F48" s="19" t="s">
        <v>131</v>
      </c>
      <c r="G48" s="20">
        <v>45409</v>
      </c>
      <c r="H48" s="19" t="s">
        <v>44</v>
      </c>
      <c r="I48" s="19" t="s">
        <v>10</v>
      </c>
      <c r="J48" s="19" t="s">
        <v>21</v>
      </c>
      <c r="K48" s="19">
        <v>5</v>
      </c>
      <c r="L48" s="37">
        <v>191.04</v>
      </c>
      <c r="M48" s="19" t="s">
        <v>38</v>
      </c>
      <c r="N48" s="19">
        <v>5</v>
      </c>
      <c r="O48" s="20">
        <v>45652</v>
      </c>
      <c r="P48" s="19">
        <v>210</v>
      </c>
      <c r="Q48" s="19" t="s">
        <v>23</v>
      </c>
      <c r="R48" s="19">
        <v>3</v>
      </c>
      <c r="S48" s="20">
        <v>45758</v>
      </c>
      <c r="T48" s="19" t="s">
        <v>14</v>
      </c>
      <c r="U48" s="39">
        <f>Table1[[#This Row],[QUANTITY]]*Table1[[#This Row],[PRICE]]</f>
        <v>955.19999999999993</v>
      </c>
    </row>
    <row r="49" spans="1:21">
      <c r="A49" s="19" t="s">
        <v>132</v>
      </c>
      <c r="B49" s="19" t="s">
        <v>26</v>
      </c>
      <c r="C49" s="19" t="s">
        <v>27</v>
      </c>
      <c r="D49" s="19" t="s">
        <v>31</v>
      </c>
      <c r="E49" s="20">
        <v>45738</v>
      </c>
      <c r="F49" s="19" t="s">
        <v>133</v>
      </c>
      <c r="G49" s="20">
        <v>45409</v>
      </c>
      <c r="H49" s="19" t="s">
        <v>29</v>
      </c>
      <c r="I49" s="19" t="s">
        <v>51</v>
      </c>
      <c r="J49" s="19" t="s">
        <v>21</v>
      </c>
      <c r="K49" s="19">
        <v>2</v>
      </c>
      <c r="L49" s="37">
        <v>957.04</v>
      </c>
      <c r="M49" s="19" t="s">
        <v>12</v>
      </c>
      <c r="N49" s="19">
        <v>47</v>
      </c>
      <c r="O49" s="20">
        <v>45595</v>
      </c>
      <c r="P49" s="19">
        <v>380</v>
      </c>
      <c r="Q49" s="19" t="s">
        <v>13</v>
      </c>
      <c r="S49" s="20">
        <v>45752</v>
      </c>
      <c r="T49" s="19" t="s">
        <v>24</v>
      </c>
      <c r="U49" s="39">
        <f>Table1[[#This Row],[QUANTITY]]*Table1[[#This Row],[PRICE]]</f>
        <v>1914.08</v>
      </c>
    </row>
    <row r="50" spans="1:21">
      <c r="A50" s="19" t="s">
        <v>134</v>
      </c>
      <c r="B50" s="19" t="s">
        <v>5</v>
      </c>
      <c r="C50" s="19" t="s">
        <v>16</v>
      </c>
      <c r="D50" s="19" t="s">
        <v>17</v>
      </c>
      <c r="E50" s="20">
        <v>45431</v>
      </c>
      <c r="F50" s="19" t="s">
        <v>135</v>
      </c>
      <c r="G50" s="20">
        <v>45409</v>
      </c>
      <c r="H50" s="19" t="s">
        <v>62</v>
      </c>
      <c r="I50" s="19" t="s">
        <v>55</v>
      </c>
      <c r="J50" s="19" t="s">
        <v>48</v>
      </c>
      <c r="K50" s="19">
        <v>4</v>
      </c>
      <c r="L50" s="37">
        <v>1012.57</v>
      </c>
      <c r="M50" s="19" t="s">
        <v>12</v>
      </c>
      <c r="N50" s="19">
        <v>26</v>
      </c>
      <c r="O50" s="20">
        <v>45528</v>
      </c>
      <c r="P50" s="19">
        <v>463</v>
      </c>
      <c r="Q50" s="19" t="s">
        <v>13</v>
      </c>
      <c r="R50" s="19">
        <v>2</v>
      </c>
      <c r="S50" s="20">
        <v>45589</v>
      </c>
      <c r="T50" s="19" t="s">
        <v>34</v>
      </c>
      <c r="U50" s="39">
        <f>Table1[[#This Row],[QUANTITY]]*Table1[[#This Row],[PRICE]]</f>
        <v>4050.28</v>
      </c>
    </row>
    <row r="51" spans="1:21">
      <c r="A51" s="19" t="s">
        <v>136</v>
      </c>
      <c r="B51" s="19" t="s">
        <v>26</v>
      </c>
      <c r="C51" s="19" t="s">
        <v>27</v>
      </c>
      <c r="D51" s="19" t="s">
        <v>53</v>
      </c>
      <c r="E51" s="20">
        <v>45393</v>
      </c>
      <c r="F51" s="19" t="s">
        <v>137</v>
      </c>
      <c r="G51" s="20">
        <v>45409</v>
      </c>
      <c r="H51" s="19" t="s">
        <v>44</v>
      </c>
      <c r="I51" s="19" t="s">
        <v>20</v>
      </c>
      <c r="J51" s="19" t="s">
        <v>21</v>
      </c>
      <c r="K51" s="19">
        <v>1</v>
      </c>
      <c r="L51" s="37">
        <v>1154.18</v>
      </c>
      <c r="M51" s="19" t="s">
        <v>22</v>
      </c>
      <c r="N51" s="19">
        <v>23</v>
      </c>
      <c r="O51" s="20">
        <v>45580</v>
      </c>
      <c r="P51" s="19">
        <v>448</v>
      </c>
      <c r="Q51" s="19" t="s">
        <v>13</v>
      </c>
      <c r="R51" s="19">
        <v>2</v>
      </c>
      <c r="S51" s="20">
        <v>45859</v>
      </c>
      <c r="T51" s="19" t="s">
        <v>14</v>
      </c>
      <c r="U51" s="39">
        <f>Table1[[#This Row],[QUANTITY]]*Table1[[#This Row],[PRICE]]</f>
        <v>1154.18</v>
      </c>
    </row>
    <row r="52" spans="1:21">
      <c r="A52" s="19" t="s">
        <v>138</v>
      </c>
      <c r="B52" s="19" t="s">
        <v>26</v>
      </c>
      <c r="C52" s="19" t="s">
        <v>16</v>
      </c>
      <c r="D52" s="19" t="s">
        <v>31</v>
      </c>
      <c r="E52" s="20">
        <v>45312</v>
      </c>
      <c r="F52" s="19" t="s">
        <v>139</v>
      </c>
      <c r="G52" s="20">
        <v>45409</v>
      </c>
      <c r="H52" s="19" t="s">
        <v>44</v>
      </c>
      <c r="I52" s="19" t="s">
        <v>51</v>
      </c>
      <c r="J52" s="19" t="s">
        <v>11</v>
      </c>
      <c r="K52" s="19">
        <v>4</v>
      </c>
      <c r="L52" s="37">
        <v>1227.07</v>
      </c>
      <c r="M52" s="19" t="s">
        <v>38</v>
      </c>
      <c r="N52" s="19">
        <v>11</v>
      </c>
      <c r="O52" s="20">
        <v>45750</v>
      </c>
      <c r="P52" s="19">
        <v>291</v>
      </c>
      <c r="Q52" s="19" t="s">
        <v>23</v>
      </c>
      <c r="R52" s="19">
        <v>5</v>
      </c>
      <c r="S52" s="20">
        <v>45672</v>
      </c>
      <c r="T52" s="19" t="s">
        <v>14</v>
      </c>
      <c r="U52" s="39">
        <f>Table1[[#This Row],[QUANTITY]]*Table1[[#This Row],[PRICE]]</f>
        <v>4908.28</v>
      </c>
    </row>
    <row r="53" spans="1:21">
      <c r="A53" s="19" t="s">
        <v>140</v>
      </c>
      <c r="B53" s="19" t="s">
        <v>26</v>
      </c>
      <c r="C53" s="19" t="s">
        <v>6</v>
      </c>
      <c r="D53" s="19" t="s">
        <v>17</v>
      </c>
      <c r="E53" s="20">
        <v>45162</v>
      </c>
      <c r="F53" s="19" t="s">
        <v>141</v>
      </c>
      <c r="G53" s="20">
        <v>45409</v>
      </c>
      <c r="H53" s="19" t="s">
        <v>44</v>
      </c>
      <c r="I53" s="19" t="s">
        <v>20</v>
      </c>
      <c r="J53" s="19" t="s">
        <v>41</v>
      </c>
      <c r="K53" s="19">
        <v>5</v>
      </c>
      <c r="L53" s="37">
        <v>188.91</v>
      </c>
      <c r="M53" s="19" t="s">
        <v>38</v>
      </c>
      <c r="N53" s="19">
        <v>23</v>
      </c>
      <c r="O53" s="20">
        <v>45572</v>
      </c>
      <c r="P53" s="19">
        <v>234</v>
      </c>
      <c r="Q53" s="19" t="s">
        <v>23</v>
      </c>
      <c r="R53" s="19">
        <v>5</v>
      </c>
      <c r="S53" s="20">
        <v>45707</v>
      </c>
      <c r="T53" s="19" t="s">
        <v>14</v>
      </c>
      <c r="U53" s="39">
        <f>Table1[[#This Row],[QUANTITY]]*Table1[[#This Row],[PRICE]]</f>
        <v>944.55</v>
      </c>
    </row>
    <row r="54" spans="1:21">
      <c r="A54" s="19" t="s">
        <v>142</v>
      </c>
      <c r="B54" s="19" t="s">
        <v>26</v>
      </c>
      <c r="C54" s="19" t="s">
        <v>27</v>
      </c>
      <c r="D54" s="19" t="s">
        <v>17</v>
      </c>
      <c r="E54" s="20">
        <v>45569</v>
      </c>
      <c r="F54" s="19" t="s">
        <v>143</v>
      </c>
      <c r="G54" s="20">
        <v>45410</v>
      </c>
      <c r="H54" s="19" t="s">
        <v>62</v>
      </c>
      <c r="I54" s="19" t="s">
        <v>55</v>
      </c>
      <c r="J54" s="19" t="s">
        <v>11</v>
      </c>
      <c r="K54" s="19">
        <v>2</v>
      </c>
      <c r="L54" s="37">
        <v>820.82</v>
      </c>
      <c r="M54" s="19" t="s">
        <v>12</v>
      </c>
      <c r="N54" s="19">
        <v>47</v>
      </c>
      <c r="O54" s="20">
        <v>45539</v>
      </c>
      <c r="P54" s="19">
        <v>294</v>
      </c>
      <c r="Q54" s="19" t="s">
        <v>13</v>
      </c>
      <c r="R54" s="19">
        <v>4</v>
      </c>
      <c r="S54" s="20">
        <v>45578</v>
      </c>
      <c r="T54" s="19" t="s">
        <v>14</v>
      </c>
      <c r="U54" s="39">
        <f>Table1[[#This Row],[QUANTITY]]*Table1[[#This Row],[PRICE]]</f>
        <v>1641.64</v>
      </c>
    </row>
    <row r="55" spans="1:21">
      <c r="A55" s="19" t="s">
        <v>144</v>
      </c>
      <c r="B55" s="19" t="s">
        <v>5</v>
      </c>
      <c r="C55" s="19" t="s">
        <v>6</v>
      </c>
      <c r="D55" s="19" t="s">
        <v>53</v>
      </c>
      <c r="E55" s="20">
        <v>45234</v>
      </c>
      <c r="F55" s="19" t="s">
        <v>145</v>
      </c>
      <c r="G55" s="20">
        <v>45410</v>
      </c>
      <c r="H55" s="19" t="s">
        <v>62</v>
      </c>
      <c r="I55" s="19" t="s">
        <v>51</v>
      </c>
      <c r="J55" s="19" t="s">
        <v>11</v>
      </c>
      <c r="K55" s="19">
        <v>4</v>
      </c>
      <c r="L55" s="37">
        <v>805.09</v>
      </c>
      <c r="M55" s="19" t="s">
        <v>22</v>
      </c>
      <c r="N55" s="19">
        <v>35</v>
      </c>
      <c r="O55" s="20">
        <v>45621</v>
      </c>
      <c r="P55" s="19">
        <v>195</v>
      </c>
      <c r="Q55" s="19" t="s">
        <v>13</v>
      </c>
      <c r="S55" s="20">
        <v>45811</v>
      </c>
      <c r="T55" s="19" t="s">
        <v>24</v>
      </c>
      <c r="U55" s="39">
        <f>Table1[[#This Row],[QUANTITY]]*Table1[[#This Row],[PRICE]]</f>
        <v>3220.36</v>
      </c>
    </row>
    <row r="56" spans="1:21">
      <c r="A56" s="19" t="s">
        <v>146</v>
      </c>
      <c r="B56" s="19" t="s">
        <v>5</v>
      </c>
      <c r="C56" s="19" t="s">
        <v>6</v>
      </c>
      <c r="D56" s="19" t="s">
        <v>31</v>
      </c>
      <c r="E56" s="20">
        <v>45549</v>
      </c>
      <c r="F56" s="19" t="s">
        <v>147</v>
      </c>
      <c r="G56" s="20">
        <v>45410</v>
      </c>
      <c r="H56" s="19" t="s">
        <v>19</v>
      </c>
      <c r="I56" s="19" t="s">
        <v>51</v>
      </c>
      <c r="J56" s="19" t="s">
        <v>21</v>
      </c>
      <c r="K56" s="19">
        <v>2</v>
      </c>
      <c r="L56" s="37">
        <v>611.52</v>
      </c>
      <c r="M56" s="19" t="s">
        <v>12</v>
      </c>
      <c r="N56" s="19">
        <v>21</v>
      </c>
      <c r="O56" s="20">
        <v>45642</v>
      </c>
      <c r="P56" s="19">
        <v>73</v>
      </c>
      <c r="Q56" s="19" t="s">
        <v>23</v>
      </c>
      <c r="S56" s="20">
        <v>45860</v>
      </c>
      <c r="T56" s="19" t="s">
        <v>24</v>
      </c>
      <c r="U56" s="39">
        <f>Table1[[#This Row],[QUANTITY]]*Table1[[#This Row],[PRICE]]</f>
        <v>1223.04</v>
      </c>
    </row>
    <row r="57" spans="1:21">
      <c r="A57" s="19" t="s">
        <v>148</v>
      </c>
      <c r="B57" s="19" t="s">
        <v>46</v>
      </c>
      <c r="C57" s="19" t="s">
        <v>16</v>
      </c>
      <c r="D57" s="19" t="s">
        <v>17</v>
      </c>
      <c r="E57" s="20">
        <v>45662</v>
      </c>
      <c r="F57" s="19" t="s">
        <v>149</v>
      </c>
      <c r="G57" s="20">
        <v>45410</v>
      </c>
      <c r="H57" s="19" t="s">
        <v>29</v>
      </c>
      <c r="I57" s="19" t="s">
        <v>51</v>
      </c>
      <c r="J57" s="19" t="s">
        <v>21</v>
      </c>
      <c r="K57" s="19">
        <v>5</v>
      </c>
      <c r="L57" s="37">
        <v>1071.83</v>
      </c>
      <c r="M57" s="19" t="s">
        <v>38</v>
      </c>
      <c r="N57" s="19">
        <v>24</v>
      </c>
      <c r="O57" s="20">
        <v>45815</v>
      </c>
      <c r="P57" s="19">
        <v>349</v>
      </c>
      <c r="Q57" s="19" t="s">
        <v>13</v>
      </c>
      <c r="S57" s="20">
        <v>45819</v>
      </c>
      <c r="T57" s="19" t="s">
        <v>24</v>
      </c>
      <c r="U57" s="39">
        <f>Table1[[#This Row],[QUANTITY]]*Table1[[#This Row],[PRICE]]</f>
        <v>5359.15</v>
      </c>
    </row>
    <row r="58" spans="1:21">
      <c r="A58" s="19" t="s">
        <v>150</v>
      </c>
      <c r="B58" s="19" t="s">
        <v>5</v>
      </c>
      <c r="C58" s="19" t="s">
        <v>16</v>
      </c>
      <c r="D58" s="19" t="s">
        <v>53</v>
      </c>
      <c r="E58" s="20">
        <v>45733</v>
      </c>
      <c r="F58" s="19" t="s">
        <v>151</v>
      </c>
      <c r="G58" s="20">
        <v>45410</v>
      </c>
      <c r="H58" s="19" t="s">
        <v>62</v>
      </c>
      <c r="I58" s="19" t="s">
        <v>20</v>
      </c>
      <c r="J58" s="19" t="s">
        <v>41</v>
      </c>
      <c r="K58" s="19">
        <v>1</v>
      </c>
      <c r="L58" s="37">
        <v>1145.82</v>
      </c>
      <c r="M58" s="19" t="s">
        <v>38</v>
      </c>
      <c r="N58" s="19">
        <v>30</v>
      </c>
      <c r="O58" s="20">
        <v>45625</v>
      </c>
      <c r="P58" s="19">
        <v>122</v>
      </c>
      <c r="Q58" s="19" t="s">
        <v>23</v>
      </c>
      <c r="S58" s="20">
        <v>45675</v>
      </c>
      <c r="T58" s="19" t="s">
        <v>24</v>
      </c>
      <c r="U58" s="39">
        <f>Table1[[#This Row],[QUANTITY]]*Table1[[#This Row],[PRICE]]</f>
        <v>1145.82</v>
      </c>
    </row>
    <row r="59" spans="1:21">
      <c r="A59" s="19" t="s">
        <v>152</v>
      </c>
      <c r="B59" s="19" t="s">
        <v>46</v>
      </c>
      <c r="C59" s="19" t="s">
        <v>27</v>
      </c>
      <c r="D59" s="19" t="s">
        <v>70</v>
      </c>
      <c r="E59" s="20">
        <v>45389</v>
      </c>
      <c r="F59" s="19" t="s">
        <v>153</v>
      </c>
      <c r="G59" s="20">
        <v>45410</v>
      </c>
      <c r="H59" s="19" t="s">
        <v>29</v>
      </c>
      <c r="I59" s="19" t="s">
        <v>10</v>
      </c>
      <c r="J59" s="19" t="s">
        <v>48</v>
      </c>
      <c r="K59" s="19">
        <v>1</v>
      </c>
      <c r="L59" s="37">
        <v>411.37</v>
      </c>
      <c r="M59" s="19" t="s">
        <v>22</v>
      </c>
      <c r="N59" s="19">
        <v>30</v>
      </c>
      <c r="O59" s="20">
        <v>45819</v>
      </c>
      <c r="P59" s="19">
        <v>243</v>
      </c>
      <c r="Q59" s="19" t="s">
        <v>23</v>
      </c>
      <c r="S59" s="20">
        <v>45863</v>
      </c>
      <c r="T59" s="19" t="s">
        <v>24</v>
      </c>
      <c r="U59" s="39">
        <f>Table1[[#This Row],[QUANTITY]]*Table1[[#This Row],[PRICE]]</f>
        <v>411.37</v>
      </c>
    </row>
    <row r="60" spans="1:21">
      <c r="A60" s="19" t="s">
        <v>154</v>
      </c>
      <c r="B60" s="19" t="s">
        <v>5</v>
      </c>
      <c r="C60" s="19" t="s">
        <v>16</v>
      </c>
      <c r="D60" s="19" t="s">
        <v>31</v>
      </c>
      <c r="E60" s="20">
        <v>45267</v>
      </c>
      <c r="F60" s="19" t="s">
        <v>155</v>
      </c>
      <c r="G60" s="20">
        <v>45410</v>
      </c>
      <c r="H60" s="19" t="s">
        <v>29</v>
      </c>
      <c r="I60" s="19" t="s">
        <v>37</v>
      </c>
      <c r="J60" s="19" t="s">
        <v>41</v>
      </c>
      <c r="K60" s="19">
        <v>2</v>
      </c>
      <c r="L60" s="37">
        <v>160.82</v>
      </c>
      <c r="M60" s="19" t="s">
        <v>12</v>
      </c>
      <c r="N60" s="19">
        <v>8</v>
      </c>
      <c r="O60" s="20">
        <v>45862</v>
      </c>
      <c r="P60" s="19">
        <v>285</v>
      </c>
      <c r="Q60" s="19" t="s">
        <v>13</v>
      </c>
      <c r="R60" s="19">
        <v>2</v>
      </c>
      <c r="S60" s="20">
        <v>45532</v>
      </c>
      <c r="T60" s="19" t="s">
        <v>14</v>
      </c>
      <c r="U60" s="39">
        <f>Table1[[#This Row],[QUANTITY]]*Table1[[#This Row],[PRICE]]</f>
        <v>321.64</v>
      </c>
    </row>
    <row r="61" spans="1:21">
      <c r="A61" s="19" t="s">
        <v>156</v>
      </c>
      <c r="B61" s="19" t="s">
        <v>26</v>
      </c>
      <c r="C61" s="19" t="s">
        <v>27</v>
      </c>
      <c r="D61" s="19" t="s">
        <v>31</v>
      </c>
      <c r="E61" s="20">
        <v>45884</v>
      </c>
      <c r="F61" s="19" t="s">
        <v>157</v>
      </c>
      <c r="G61" s="20">
        <v>45411</v>
      </c>
      <c r="H61" s="19" t="s">
        <v>62</v>
      </c>
      <c r="I61" s="19" t="s">
        <v>10</v>
      </c>
      <c r="J61" s="19" t="s">
        <v>48</v>
      </c>
      <c r="K61" s="19">
        <v>2</v>
      </c>
      <c r="L61" s="37">
        <v>1185.2</v>
      </c>
      <c r="M61" s="19" t="s">
        <v>38</v>
      </c>
      <c r="N61" s="19">
        <v>46</v>
      </c>
      <c r="O61" s="20">
        <v>45882</v>
      </c>
      <c r="P61" s="19">
        <v>491</v>
      </c>
      <c r="Q61" s="19" t="s">
        <v>23</v>
      </c>
      <c r="S61" s="20">
        <v>45806</v>
      </c>
      <c r="T61" s="19" t="s">
        <v>24</v>
      </c>
      <c r="U61" s="39">
        <f>Table1[[#This Row],[QUANTITY]]*Table1[[#This Row],[PRICE]]</f>
        <v>2370.4</v>
      </c>
    </row>
    <row r="62" spans="1:21">
      <c r="A62" s="19" t="s">
        <v>158</v>
      </c>
      <c r="B62" s="19" t="s">
        <v>46</v>
      </c>
      <c r="C62" s="19" t="s">
        <v>27</v>
      </c>
      <c r="D62" s="19" t="s">
        <v>53</v>
      </c>
      <c r="E62" s="20">
        <v>45215</v>
      </c>
      <c r="F62" s="19" t="s">
        <v>159</v>
      </c>
      <c r="G62" s="20">
        <v>45411</v>
      </c>
      <c r="H62" s="19" t="s">
        <v>62</v>
      </c>
      <c r="I62" s="19" t="s">
        <v>51</v>
      </c>
      <c r="J62" s="19" t="s">
        <v>21</v>
      </c>
      <c r="K62" s="19">
        <v>4</v>
      </c>
      <c r="L62" s="37">
        <v>930.85</v>
      </c>
      <c r="M62" s="19" t="s">
        <v>12</v>
      </c>
      <c r="N62" s="19">
        <v>4</v>
      </c>
      <c r="O62" s="20">
        <v>45559</v>
      </c>
      <c r="P62" s="19">
        <v>92</v>
      </c>
      <c r="Q62" s="19" t="s">
        <v>13</v>
      </c>
      <c r="R62" s="19">
        <v>3</v>
      </c>
      <c r="S62" s="20">
        <v>45828</v>
      </c>
      <c r="T62" s="19" t="s">
        <v>34</v>
      </c>
      <c r="U62" s="39">
        <f>Table1[[#This Row],[QUANTITY]]*Table1[[#This Row],[PRICE]]</f>
        <v>3723.4</v>
      </c>
    </row>
    <row r="63" spans="1:21">
      <c r="A63" s="19" t="s">
        <v>160</v>
      </c>
      <c r="B63" s="19" t="s">
        <v>5</v>
      </c>
      <c r="C63" s="19" t="s">
        <v>27</v>
      </c>
      <c r="D63" s="19" t="s">
        <v>70</v>
      </c>
      <c r="E63" s="20">
        <v>45643</v>
      </c>
      <c r="F63" s="19" t="s">
        <v>161</v>
      </c>
      <c r="G63" s="20">
        <v>45411</v>
      </c>
      <c r="H63" s="19" t="s">
        <v>44</v>
      </c>
      <c r="I63" s="19" t="s">
        <v>37</v>
      </c>
      <c r="J63" s="19" t="s">
        <v>11</v>
      </c>
      <c r="K63" s="19">
        <v>5</v>
      </c>
      <c r="L63" s="37">
        <v>1265.29</v>
      </c>
      <c r="M63" s="19" t="s">
        <v>12</v>
      </c>
      <c r="N63" s="19">
        <v>4</v>
      </c>
      <c r="O63" s="20">
        <v>45583</v>
      </c>
      <c r="P63" s="19">
        <v>262</v>
      </c>
      <c r="Q63" s="19" t="s">
        <v>23</v>
      </c>
      <c r="R63" s="19">
        <v>3</v>
      </c>
      <c r="S63" s="20">
        <v>45779</v>
      </c>
      <c r="T63" s="19" t="s">
        <v>14</v>
      </c>
      <c r="U63" s="39">
        <f>Table1[[#This Row],[QUANTITY]]*Table1[[#This Row],[PRICE]]</f>
        <v>6326.45</v>
      </c>
    </row>
    <row r="64" spans="1:21">
      <c r="A64" s="19" t="s">
        <v>162</v>
      </c>
      <c r="B64" s="19" t="s">
        <v>26</v>
      </c>
      <c r="C64" s="19" t="s">
        <v>16</v>
      </c>
      <c r="D64" s="19" t="s">
        <v>53</v>
      </c>
      <c r="E64" s="20">
        <v>45644</v>
      </c>
      <c r="F64" s="19" t="s">
        <v>163</v>
      </c>
      <c r="G64" s="20">
        <v>45411</v>
      </c>
      <c r="H64" s="19" t="s">
        <v>29</v>
      </c>
      <c r="I64" s="19" t="s">
        <v>20</v>
      </c>
      <c r="J64" s="19" t="s">
        <v>41</v>
      </c>
      <c r="K64" s="19">
        <v>3</v>
      </c>
      <c r="L64" s="37">
        <v>300.18</v>
      </c>
      <c r="M64" s="19" t="s">
        <v>22</v>
      </c>
      <c r="N64" s="19">
        <v>3</v>
      </c>
      <c r="O64" s="20">
        <v>45668</v>
      </c>
      <c r="P64" s="19">
        <v>411</v>
      </c>
      <c r="Q64" s="19" t="s">
        <v>23</v>
      </c>
      <c r="S64" s="20">
        <v>45672</v>
      </c>
      <c r="T64" s="19" t="s">
        <v>24</v>
      </c>
      <c r="U64" s="39">
        <f>Table1[[#This Row],[QUANTITY]]*Table1[[#This Row],[PRICE]]</f>
        <v>900.54</v>
      </c>
    </row>
    <row r="65" spans="1:21">
      <c r="A65" s="19" t="s">
        <v>164</v>
      </c>
      <c r="B65" s="19" t="s">
        <v>5</v>
      </c>
      <c r="C65" s="19" t="s">
        <v>16</v>
      </c>
      <c r="D65" s="19" t="s">
        <v>53</v>
      </c>
      <c r="E65" s="20">
        <v>45591</v>
      </c>
      <c r="F65" s="19" t="s">
        <v>165</v>
      </c>
      <c r="G65" s="20">
        <v>45411</v>
      </c>
      <c r="H65" s="19" t="s">
        <v>29</v>
      </c>
      <c r="I65" s="19" t="s">
        <v>10</v>
      </c>
      <c r="J65" s="19" t="s">
        <v>33</v>
      </c>
      <c r="K65" s="19">
        <v>1</v>
      </c>
      <c r="L65" s="37">
        <v>494.13</v>
      </c>
      <c r="M65" s="19" t="s">
        <v>38</v>
      </c>
      <c r="N65" s="19">
        <v>6</v>
      </c>
      <c r="O65" s="20">
        <v>45775</v>
      </c>
      <c r="P65" s="19">
        <v>262</v>
      </c>
      <c r="Q65" s="19" t="s">
        <v>23</v>
      </c>
      <c r="R65" s="19">
        <v>4</v>
      </c>
      <c r="S65" s="20">
        <v>45702</v>
      </c>
      <c r="T65" s="19" t="s">
        <v>14</v>
      </c>
      <c r="U65" s="39">
        <f>Table1[[#This Row],[QUANTITY]]*Table1[[#This Row],[PRICE]]</f>
        <v>494.13</v>
      </c>
    </row>
    <row r="66" spans="1:21">
      <c r="A66" s="19" t="s">
        <v>166</v>
      </c>
      <c r="B66" s="19" t="s">
        <v>26</v>
      </c>
      <c r="C66" s="19" t="s">
        <v>6</v>
      </c>
      <c r="D66" s="19" t="s">
        <v>31</v>
      </c>
      <c r="E66" s="20">
        <v>45348</v>
      </c>
      <c r="F66" s="19" t="s">
        <v>167</v>
      </c>
      <c r="G66" s="20">
        <v>45411</v>
      </c>
      <c r="H66" s="19" t="s">
        <v>44</v>
      </c>
      <c r="I66" s="19" t="s">
        <v>37</v>
      </c>
      <c r="J66" s="19" t="s">
        <v>48</v>
      </c>
      <c r="K66" s="19">
        <v>3</v>
      </c>
      <c r="L66" s="37">
        <v>1029.4100000000001</v>
      </c>
      <c r="M66" s="19" t="s">
        <v>38</v>
      </c>
      <c r="N66" s="19">
        <v>32</v>
      </c>
      <c r="O66" s="20">
        <v>45858</v>
      </c>
      <c r="P66" s="19">
        <v>45</v>
      </c>
      <c r="Q66" s="19" t="s">
        <v>13</v>
      </c>
      <c r="R66" s="19">
        <v>3</v>
      </c>
      <c r="S66" s="20">
        <v>45642</v>
      </c>
      <c r="T66" s="19" t="s">
        <v>14</v>
      </c>
      <c r="U66" s="39">
        <f>Table1[[#This Row],[QUANTITY]]*Table1[[#This Row],[PRICE]]</f>
        <v>3088.2300000000005</v>
      </c>
    </row>
    <row r="67" spans="1:21">
      <c r="A67" s="19" t="s">
        <v>168</v>
      </c>
      <c r="B67" s="19" t="s">
        <v>46</v>
      </c>
      <c r="C67" s="19" t="s">
        <v>16</v>
      </c>
      <c r="D67" s="19" t="s">
        <v>70</v>
      </c>
      <c r="E67" s="20">
        <v>45667</v>
      </c>
      <c r="F67" s="19" t="s">
        <v>169</v>
      </c>
      <c r="G67" s="20">
        <v>45411</v>
      </c>
      <c r="H67" s="19" t="s">
        <v>44</v>
      </c>
      <c r="I67" s="19" t="s">
        <v>10</v>
      </c>
      <c r="J67" s="19" t="s">
        <v>41</v>
      </c>
      <c r="K67" s="19">
        <v>5</v>
      </c>
      <c r="L67" s="37">
        <v>1386.81</v>
      </c>
      <c r="M67" s="19" t="s">
        <v>12</v>
      </c>
      <c r="N67" s="19">
        <v>19</v>
      </c>
      <c r="O67" s="20">
        <v>45614</v>
      </c>
      <c r="P67" s="19">
        <v>240</v>
      </c>
      <c r="Q67" s="19" t="s">
        <v>23</v>
      </c>
      <c r="R67" s="19">
        <v>1</v>
      </c>
      <c r="S67" s="20">
        <v>45556</v>
      </c>
      <c r="T67" s="19" t="s">
        <v>14</v>
      </c>
      <c r="U67" s="39">
        <f>Table1[[#This Row],[QUANTITY]]*Table1[[#This Row],[PRICE]]</f>
        <v>6934.0499999999993</v>
      </c>
    </row>
    <row r="68" spans="1:21">
      <c r="A68" s="19" t="s">
        <v>170</v>
      </c>
      <c r="B68" s="19" t="s">
        <v>5</v>
      </c>
      <c r="C68" s="19" t="s">
        <v>27</v>
      </c>
      <c r="D68" s="19" t="s">
        <v>31</v>
      </c>
      <c r="E68" s="20">
        <v>45489</v>
      </c>
      <c r="F68" s="19" t="s">
        <v>171</v>
      </c>
      <c r="G68" s="20">
        <v>45411</v>
      </c>
      <c r="H68" s="19" t="s">
        <v>62</v>
      </c>
      <c r="I68" s="19" t="s">
        <v>51</v>
      </c>
      <c r="J68" s="19" t="s">
        <v>33</v>
      </c>
      <c r="K68" s="19">
        <v>3</v>
      </c>
      <c r="L68" s="37">
        <v>987.74</v>
      </c>
      <c r="M68" s="19" t="s">
        <v>22</v>
      </c>
      <c r="N68" s="19">
        <v>50</v>
      </c>
      <c r="O68" s="20">
        <v>45791</v>
      </c>
      <c r="P68" s="19">
        <v>228</v>
      </c>
      <c r="Q68" s="19" t="s">
        <v>23</v>
      </c>
      <c r="R68" s="19">
        <v>1</v>
      </c>
      <c r="S68" s="20">
        <v>45814</v>
      </c>
      <c r="T68" s="19" t="s">
        <v>14</v>
      </c>
      <c r="U68" s="39">
        <f>Table1[[#This Row],[QUANTITY]]*Table1[[#This Row],[PRICE]]</f>
        <v>2963.2200000000003</v>
      </c>
    </row>
    <row r="69" spans="1:21">
      <c r="A69" s="19" t="s">
        <v>172</v>
      </c>
      <c r="B69" s="19" t="s">
        <v>26</v>
      </c>
      <c r="C69" s="19" t="s">
        <v>16</v>
      </c>
      <c r="D69" s="19" t="s">
        <v>70</v>
      </c>
      <c r="E69" s="20">
        <v>45595</v>
      </c>
      <c r="F69" s="19" t="s">
        <v>173</v>
      </c>
      <c r="G69" s="20">
        <v>45412</v>
      </c>
      <c r="H69" s="19" t="s">
        <v>62</v>
      </c>
      <c r="I69" s="19" t="s">
        <v>20</v>
      </c>
      <c r="J69" s="19" t="s">
        <v>33</v>
      </c>
      <c r="K69" s="19">
        <v>1</v>
      </c>
      <c r="L69" s="37">
        <v>1275.78</v>
      </c>
      <c r="M69" s="19" t="s">
        <v>12</v>
      </c>
      <c r="N69" s="19">
        <v>47</v>
      </c>
      <c r="O69" s="20">
        <v>45579</v>
      </c>
      <c r="P69" s="19">
        <v>351</v>
      </c>
      <c r="Q69" s="19" t="s">
        <v>13</v>
      </c>
      <c r="R69" s="19">
        <v>1</v>
      </c>
      <c r="S69" s="20">
        <v>45858</v>
      </c>
      <c r="T69" s="19" t="s">
        <v>14</v>
      </c>
      <c r="U69" s="39">
        <f>Table1[[#This Row],[QUANTITY]]*Table1[[#This Row],[PRICE]]</f>
        <v>1275.78</v>
      </c>
    </row>
    <row r="70" spans="1:21">
      <c r="A70" s="19" t="s">
        <v>174</v>
      </c>
      <c r="B70" s="19" t="s">
        <v>26</v>
      </c>
      <c r="C70" s="19" t="s">
        <v>16</v>
      </c>
      <c r="D70" s="19" t="s">
        <v>53</v>
      </c>
      <c r="E70" s="20">
        <v>45874</v>
      </c>
      <c r="F70" s="19" t="s">
        <v>175</v>
      </c>
      <c r="G70" s="20">
        <v>45412</v>
      </c>
      <c r="H70" s="19" t="s">
        <v>19</v>
      </c>
      <c r="I70" s="19" t="s">
        <v>51</v>
      </c>
      <c r="J70" s="19" t="s">
        <v>21</v>
      </c>
      <c r="K70" s="19">
        <v>4</v>
      </c>
      <c r="L70" s="37">
        <v>683.88</v>
      </c>
      <c r="M70" s="19" t="s">
        <v>12</v>
      </c>
      <c r="N70" s="19">
        <v>33</v>
      </c>
      <c r="O70" s="20">
        <v>45746</v>
      </c>
      <c r="P70" s="19">
        <v>475</v>
      </c>
      <c r="Q70" s="19" t="s">
        <v>23</v>
      </c>
      <c r="S70" s="20">
        <v>45819</v>
      </c>
      <c r="T70" s="19" t="s">
        <v>24</v>
      </c>
      <c r="U70" s="39">
        <f>Table1[[#This Row],[QUANTITY]]*Table1[[#This Row],[PRICE]]</f>
        <v>2735.52</v>
      </c>
    </row>
    <row r="71" spans="1:21">
      <c r="A71" s="19" t="s">
        <v>176</v>
      </c>
      <c r="B71" s="19" t="s">
        <v>46</v>
      </c>
      <c r="C71" s="19" t="s">
        <v>6</v>
      </c>
      <c r="D71" s="19" t="s">
        <v>53</v>
      </c>
      <c r="E71" s="20">
        <v>45778</v>
      </c>
      <c r="F71" s="19" t="s">
        <v>177</v>
      </c>
      <c r="G71" s="20">
        <v>45412</v>
      </c>
      <c r="H71" s="19" t="s">
        <v>9</v>
      </c>
      <c r="I71" s="19" t="s">
        <v>10</v>
      </c>
      <c r="J71" s="19" t="s">
        <v>11</v>
      </c>
      <c r="K71" s="19">
        <v>2</v>
      </c>
      <c r="L71" s="37">
        <v>1012.18</v>
      </c>
      <c r="M71" s="19" t="s">
        <v>12</v>
      </c>
      <c r="N71" s="19">
        <v>35</v>
      </c>
      <c r="O71" s="20">
        <v>45679</v>
      </c>
      <c r="P71" s="19">
        <v>141</v>
      </c>
      <c r="Q71" s="19" t="s">
        <v>23</v>
      </c>
      <c r="R71" s="19">
        <v>2</v>
      </c>
      <c r="S71" s="20">
        <v>45587</v>
      </c>
      <c r="T71" s="19" t="s">
        <v>14</v>
      </c>
      <c r="U71" s="39">
        <f>Table1[[#This Row],[QUANTITY]]*Table1[[#This Row],[PRICE]]</f>
        <v>2024.36</v>
      </c>
    </row>
    <row r="72" spans="1:21">
      <c r="A72" s="19" t="s">
        <v>178</v>
      </c>
      <c r="B72" s="19" t="s">
        <v>26</v>
      </c>
      <c r="C72" s="19" t="s">
        <v>6</v>
      </c>
      <c r="D72" s="19" t="s">
        <v>31</v>
      </c>
      <c r="E72" s="20">
        <v>45441</v>
      </c>
      <c r="F72" s="19" t="s">
        <v>179</v>
      </c>
      <c r="G72" s="20">
        <v>45412</v>
      </c>
      <c r="H72" s="19" t="s">
        <v>44</v>
      </c>
      <c r="I72" s="19" t="s">
        <v>37</v>
      </c>
      <c r="J72" s="19" t="s">
        <v>48</v>
      </c>
      <c r="K72" s="19">
        <v>4</v>
      </c>
      <c r="L72" s="37">
        <v>173.93</v>
      </c>
      <c r="M72" s="19" t="s">
        <v>38</v>
      </c>
      <c r="N72" s="19">
        <v>8</v>
      </c>
      <c r="O72" s="20">
        <v>45780</v>
      </c>
      <c r="P72" s="19">
        <v>310</v>
      </c>
      <c r="Q72" s="19" t="s">
        <v>23</v>
      </c>
      <c r="R72" s="19">
        <v>1</v>
      </c>
      <c r="S72" s="20">
        <v>45571</v>
      </c>
      <c r="T72" s="19" t="s">
        <v>14</v>
      </c>
      <c r="U72" s="39">
        <f>Table1[[#This Row],[QUANTITY]]*Table1[[#This Row],[PRICE]]</f>
        <v>695.72</v>
      </c>
    </row>
    <row r="73" spans="1:21">
      <c r="A73" s="19" t="s">
        <v>180</v>
      </c>
      <c r="B73" s="19" t="s">
        <v>26</v>
      </c>
      <c r="C73" s="19" t="s">
        <v>6</v>
      </c>
      <c r="D73" s="19" t="s">
        <v>53</v>
      </c>
      <c r="E73" s="20">
        <v>45852</v>
      </c>
      <c r="F73" s="19" t="s">
        <v>181</v>
      </c>
      <c r="G73" s="20">
        <v>45412</v>
      </c>
      <c r="H73" s="19" t="s">
        <v>9</v>
      </c>
      <c r="I73" s="19" t="s">
        <v>55</v>
      </c>
      <c r="J73" s="19" t="s">
        <v>48</v>
      </c>
      <c r="K73" s="19">
        <v>3</v>
      </c>
      <c r="L73" s="37">
        <v>276.39999999999998</v>
      </c>
      <c r="M73" s="19" t="s">
        <v>38</v>
      </c>
      <c r="N73" s="19">
        <v>20</v>
      </c>
      <c r="O73" s="20">
        <v>45533</v>
      </c>
      <c r="P73" s="19">
        <v>216</v>
      </c>
      <c r="Q73" s="19" t="s">
        <v>13</v>
      </c>
      <c r="S73" s="20">
        <v>45795</v>
      </c>
      <c r="T73" s="19" t="s">
        <v>24</v>
      </c>
      <c r="U73" s="39">
        <f>Table1[[#This Row],[QUANTITY]]*Table1[[#This Row],[PRICE]]</f>
        <v>829.19999999999993</v>
      </c>
    </row>
    <row r="74" spans="1:21">
      <c r="A74" s="19" t="s">
        <v>182</v>
      </c>
      <c r="B74" s="19" t="s">
        <v>5</v>
      </c>
      <c r="C74" s="19" t="s">
        <v>16</v>
      </c>
      <c r="D74" s="19" t="s">
        <v>17</v>
      </c>
      <c r="E74" s="20">
        <v>45218</v>
      </c>
      <c r="F74" s="19" t="s">
        <v>183</v>
      </c>
      <c r="G74" s="20">
        <v>45412</v>
      </c>
      <c r="H74" s="19" t="s">
        <v>29</v>
      </c>
      <c r="I74" s="19" t="s">
        <v>55</v>
      </c>
      <c r="J74" s="19" t="s">
        <v>48</v>
      </c>
      <c r="K74" s="19">
        <v>2</v>
      </c>
      <c r="L74" s="37">
        <v>375.1</v>
      </c>
      <c r="M74" s="19" t="s">
        <v>38</v>
      </c>
      <c r="N74" s="19">
        <v>12</v>
      </c>
      <c r="O74" s="20">
        <v>45562</v>
      </c>
      <c r="P74" s="19">
        <v>107</v>
      </c>
      <c r="Q74" s="19" t="s">
        <v>13</v>
      </c>
      <c r="R74" s="19">
        <v>5</v>
      </c>
      <c r="S74" s="20">
        <v>45768</v>
      </c>
      <c r="T74" s="19" t="s">
        <v>14</v>
      </c>
      <c r="U74" s="39">
        <f>Table1[[#This Row],[QUANTITY]]*Table1[[#This Row],[PRICE]]</f>
        <v>750.2</v>
      </c>
    </row>
    <row r="75" spans="1:21">
      <c r="A75" s="19" t="s">
        <v>184</v>
      </c>
      <c r="B75" s="19" t="s">
        <v>46</v>
      </c>
      <c r="C75" s="19" t="s">
        <v>6</v>
      </c>
      <c r="D75" s="19" t="s">
        <v>53</v>
      </c>
      <c r="E75" s="20">
        <v>45424</v>
      </c>
      <c r="F75" s="19" t="s">
        <v>185</v>
      </c>
      <c r="G75" s="20">
        <v>45413</v>
      </c>
      <c r="H75" s="19" t="s">
        <v>19</v>
      </c>
      <c r="I75" s="19" t="s">
        <v>20</v>
      </c>
      <c r="J75" s="19" t="s">
        <v>11</v>
      </c>
      <c r="K75" s="19">
        <v>4</v>
      </c>
      <c r="L75" s="37">
        <v>938.68</v>
      </c>
      <c r="M75" s="19" t="s">
        <v>22</v>
      </c>
      <c r="N75" s="19">
        <v>30</v>
      </c>
      <c r="O75" s="20">
        <v>45550</v>
      </c>
      <c r="P75" s="19">
        <v>367</v>
      </c>
      <c r="Q75" s="19" t="s">
        <v>13</v>
      </c>
      <c r="R75" s="19">
        <v>2</v>
      </c>
      <c r="S75" s="20">
        <v>45547</v>
      </c>
      <c r="T75" s="19" t="s">
        <v>34</v>
      </c>
      <c r="U75" s="39">
        <f>Table1[[#This Row],[QUANTITY]]*Table1[[#This Row],[PRICE]]</f>
        <v>3754.72</v>
      </c>
    </row>
    <row r="76" spans="1:21">
      <c r="A76" s="19" t="s">
        <v>186</v>
      </c>
      <c r="B76" s="19" t="s">
        <v>46</v>
      </c>
      <c r="C76" s="19" t="s">
        <v>27</v>
      </c>
      <c r="D76" s="19" t="s">
        <v>7</v>
      </c>
      <c r="E76" s="20">
        <v>45793</v>
      </c>
      <c r="F76" s="19" t="s">
        <v>187</v>
      </c>
      <c r="G76" s="20">
        <v>45413</v>
      </c>
      <c r="H76" s="19" t="s">
        <v>29</v>
      </c>
      <c r="I76" s="19" t="s">
        <v>10</v>
      </c>
      <c r="J76" s="19" t="s">
        <v>33</v>
      </c>
      <c r="K76" s="19">
        <v>5</v>
      </c>
      <c r="L76" s="37">
        <v>654.41</v>
      </c>
      <c r="M76" s="19" t="s">
        <v>22</v>
      </c>
      <c r="N76" s="19">
        <v>36</v>
      </c>
      <c r="O76" s="20">
        <v>45595</v>
      </c>
      <c r="P76" s="19">
        <v>268</v>
      </c>
      <c r="Q76" s="19" t="s">
        <v>13</v>
      </c>
      <c r="R76" s="19">
        <v>4</v>
      </c>
      <c r="S76" s="20">
        <v>45788</v>
      </c>
      <c r="T76" s="19" t="s">
        <v>14</v>
      </c>
      <c r="U76" s="39">
        <f>Table1[[#This Row],[QUANTITY]]*Table1[[#This Row],[PRICE]]</f>
        <v>3272.0499999999997</v>
      </c>
    </row>
    <row r="77" spans="1:21">
      <c r="A77" s="19" t="s">
        <v>188</v>
      </c>
      <c r="B77" s="19" t="s">
        <v>26</v>
      </c>
      <c r="C77" s="19" t="s">
        <v>27</v>
      </c>
      <c r="D77" s="19" t="s">
        <v>53</v>
      </c>
      <c r="E77" s="20">
        <v>45417</v>
      </c>
      <c r="F77" s="19" t="s">
        <v>189</v>
      </c>
      <c r="G77" s="20">
        <v>45413</v>
      </c>
      <c r="H77" s="19" t="s">
        <v>44</v>
      </c>
      <c r="I77" s="19" t="s">
        <v>55</v>
      </c>
      <c r="J77" s="19" t="s">
        <v>41</v>
      </c>
      <c r="K77" s="19">
        <v>4</v>
      </c>
      <c r="L77" s="37">
        <v>1164.26</v>
      </c>
      <c r="M77" s="19" t="s">
        <v>22</v>
      </c>
      <c r="N77" s="19">
        <v>47</v>
      </c>
      <c r="O77" s="20">
        <v>45785</v>
      </c>
      <c r="P77" s="19">
        <v>149</v>
      </c>
      <c r="Q77" s="19" t="s">
        <v>13</v>
      </c>
      <c r="R77" s="19">
        <v>4</v>
      </c>
      <c r="S77" s="20">
        <v>45580</v>
      </c>
      <c r="T77" s="19" t="s">
        <v>14</v>
      </c>
      <c r="U77" s="39">
        <f>Table1[[#This Row],[QUANTITY]]*Table1[[#This Row],[PRICE]]</f>
        <v>4657.04</v>
      </c>
    </row>
    <row r="78" spans="1:21">
      <c r="A78" s="19" t="s">
        <v>190</v>
      </c>
      <c r="B78" s="19" t="s">
        <v>46</v>
      </c>
      <c r="C78" s="19" t="s">
        <v>6</v>
      </c>
      <c r="D78" s="19" t="s">
        <v>53</v>
      </c>
      <c r="E78" s="20">
        <v>45777</v>
      </c>
      <c r="F78" s="19" t="s">
        <v>191</v>
      </c>
      <c r="G78" s="20">
        <v>45413</v>
      </c>
      <c r="H78" s="19" t="s">
        <v>44</v>
      </c>
      <c r="I78" s="19" t="s">
        <v>37</v>
      </c>
      <c r="J78" s="19" t="s">
        <v>48</v>
      </c>
      <c r="K78" s="19">
        <v>1</v>
      </c>
      <c r="L78" s="37">
        <v>592.84</v>
      </c>
      <c r="M78" s="19" t="s">
        <v>38</v>
      </c>
      <c r="N78" s="19">
        <v>39</v>
      </c>
      <c r="O78" s="20">
        <v>45804</v>
      </c>
      <c r="P78" s="19">
        <v>290</v>
      </c>
      <c r="Q78" s="19" t="s">
        <v>23</v>
      </c>
      <c r="R78" s="19">
        <v>1</v>
      </c>
      <c r="S78" s="20">
        <v>45591</v>
      </c>
      <c r="T78" s="19" t="s">
        <v>14</v>
      </c>
      <c r="U78" s="39">
        <f>Table1[[#This Row],[QUANTITY]]*Table1[[#This Row],[PRICE]]</f>
        <v>592.84</v>
      </c>
    </row>
    <row r="79" spans="1:21">
      <c r="A79" s="19" t="s">
        <v>192</v>
      </c>
      <c r="B79" s="19" t="s">
        <v>5</v>
      </c>
      <c r="C79" s="19" t="s">
        <v>6</v>
      </c>
      <c r="D79" s="19" t="s">
        <v>17</v>
      </c>
      <c r="E79" s="20">
        <v>45240</v>
      </c>
      <c r="F79" s="19" t="s">
        <v>193</v>
      </c>
      <c r="G79" s="20">
        <v>45414</v>
      </c>
      <c r="H79" s="19" t="s">
        <v>29</v>
      </c>
      <c r="I79" s="19" t="s">
        <v>10</v>
      </c>
      <c r="J79" s="19" t="s">
        <v>48</v>
      </c>
      <c r="K79" s="19">
        <v>3</v>
      </c>
      <c r="L79" s="37">
        <v>1377.06</v>
      </c>
      <c r="M79" s="19" t="s">
        <v>22</v>
      </c>
      <c r="N79" s="19">
        <v>29</v>
      </c>
      <c r="O79" s="20">
        <v>45626</v>
      </c>
      <c r="P79" s="19">
        <v>372</v>
      </c>
      <c r="Q79" s="19" t="s">
        <v>13</v>
      </c>
      <c r="R79" s="19">
        <v>1</v>
      </c>
      <c r="S79" s="20">
        <v>45784</v>
      </c>
      <c r="T79" s="19" t="s">
        <v>14</v>
      </c>
      <c r="U79" s="39">
        <f>Table1[[#This Row],[QUANTITY]]*Table1[[#This Row],[PRICE]]</f>
        <v>4131.18</v>
      </c>
    </row>
    <row r="80" spans="1:21">
      <c r="A80" s="19" t="s">
        <v>194</v>
      </c>
      <c r="B80" s="19" t="s">
        <v>5</v>
      </c>
      <c r="C80" s="19" t="s">
        <v>27</v>
      </c>
      <c r="D80" s="19" t="s">
        <v>70</v>
      </c>
      <c r="E80" s="20">
        <v>45576</v>
      </c>
      <c r="F80" s="19" t="s">
        <v>195</v>
      </c>
      <c r="G80" s="20">
        <v>45414</v>
      </c>
      <c r="H80" s="19" t="s">
        <v>62</v>
      </c>
      <c r="I80" s="19" t="s">
        <v>37</v>
      </c>
      <c r="J80" s="19" t="s">
        <v>33</v>
      </c>
      <c r="K80" s="19">
        <v>2</v>
      </c>
      <c r="L80" s="37">
        <v>614.21</v>
      </c>
      <c r="M80" s="19" t="s">
        <v>22</v>
      </c>
      <c r="N80" s="19">
        <v>11</v>
      </c>
      <c r="O80" s="20">
        <v>45821</v>
      </c>
      <c r="P80" s="19">
        <v>361</v>
      </c>
      <c r="Q80" s="19" t="s">
        <v>13</v>
      </c>
      <c r="R80" s="19">
        <v>1</v>
      </c>
      <c r="S80" s="20">
        <v>45652</v>
      </c>
      <c r="T80" s="19" t="s">
        <v>34</v>
      </c>
      <c r="U80" s="39">
        <f>Table1[[#This Row],[QUANTITY]]*Table1[[#This Row],[PRICE]]</f>
        <v>1228.42</v>
      </c>
    </row>
    <row r="81" spans="1:21">
      <c r="A81" s="19" t="s">
        <v>196</v>
      </c>
      <c r="B81" s="19" t="s">
        <v>46</v>
      </c>
      <c r="C81" s="19" t="s">
        <v>27</v>
      </c>
      <c r="D81" s="19" t="s">
        <v>17</v>
      </c>
      <c r="E81" s="20">
        <v>45580</v>
      </c>
      <c r="F81" s="19" t="s">
        <v>197</v>
      </c>
      <c r="G81" s="20">
        <v>45414</v>
      </c>
      <c r="H81" s="19" t="s">
        <v>29</v>
      </c>
      <c r="I81" s="19" t="s">
        <v>37</v>
      </c>
      <c r="J81" s="19" t="s">
        <v>21</v>
      </c>
      <c r="K81" s="19">
        <v>3</v>
      </c>
      <c r="L81" s="37">
        <v>576.44000000000005</v>
      </c>
      <c r="M81" s="19" t="s">
        <v>22</v>
      </c>
      <c r="N81" s="19">
        <v>43</v>
      </c>
      <c r="O81" s="20">
        <v>45884</v>
      </c>
      <c r="P81" s="19">
        <v>460</v>
      </c>
      <c r="Q81" s="19" t="s">
        <v>13</v>
      </c>
      <c r="R81" s="19">
        <v>3</v>
      </c>
      <c r="S81" s="20">
        <v>45711</v>
      </c>
      <c r="T81" s="19" t="s">
        <v>14</v>
      </c>
      <c r="U81" s="39">
        <f>Table1[[#This Row],[QUANTITY]]*Table1[[#This Row],[PRICE]]</f>
        <v>1729.3200000000002</v>
      </c>
    </row>
    <row r="82" spans="1:21">
      <c r="A82" s="19" t="s">
        <v>198</v>
      </c>
      <c r="B82" s="19" t="s">
        <v>26</v>
      </c>
      <c r="C82" s="19" t="s">
        <v>6</v>
      </c>
      <c r="D82" s="19" t="s">
        <v>70</v>
      </c>
      <c r="E82" s="20">
        <v>45836</v>
      </c>
      <c r="F82" s="19" t="s">
        <v>199</v>
      </c>
      <c r="G82" s="20">
        <v>45414</v>
      </c>
      <c r="H82" s="19" t="s">
        <v>19</v>
      </c>
      <c r="I82" s="19" t="s">
        <v>10</v>
      </c>
      <c r="J82" s="19" t="s">
        <v>33</v>
      </c>
      <c r="K82" s="19">
        <v>2</v>
      </c>
      <c r="L82" s="37">
        <v>1369.3</v>
      </c>
      <c r="M82" s="19" t="s">
        <v>38</v>
      </c>
      <c r="N82" s="19">
        <v>45</v>
      </c>
      <c r="O82" s="20">
        <v>45721</v>
      </c>
      <c r="P82" s="19">
        <v>48</v>
      </c>
      <c r="Q82" s="19" t="s">
        <v>13</v>
      </c>
      <c r="R82" s="19">
        <v>5</v>
      </c>
      <c r="S82" s="20">
        <v>45780</v>
      </c>
      <c r="T82" s="19" t="s">
        <v>14</v>
      </c>
      <c r="U82" s="39">
        <f>Table1[[#This Row],[QUANTITY]]*Table1[[#This Row],[PRICE]]</f>
        <v>2738.6</v>
      </c>
    </row>
    <row r="83" spans="1:21">
      <c r="A83" s="19" t="s">
        <v>200</v>
      </c>
      <c r="B83" s="19" t="s">
        <v>46</v>
      </c>
      <c r="C83" s="19" t="s">
        <v>27</v>
      </c>
      <c r="D83" s="19" t="s">
        <v>31</v>
      </c>
      <c r="E83" s="20">
        <v>45499</v>
      </c>
      <c r="F83" s="19" t="s">
        <v>201</v>
      </c>
      <c r="G83" s="20">
        <v>45414</v>
      </c>
      <c r="H83" s="19" t="s">
        <v>44</v>
      </c>
      <c r="I83" s="19" t="s">
        <v>10</v>
      </c>
      <c r="J83" s="19" t="s">
        <v>41</v>
      </c>
      <c r="K83" s="19">
        <v>2</v>
      </c>
      <c r="L83" s="37">
        <v>436.26</v>
      </c>
      <c r="M83" s="19" t="s">
        <v>38</v>
      </c>
      <c r="N83" s="19">
        <v>14</v>
      </c>
      <c r="O83" s="20">
        <v>45580</v>
      </c>
      <c r="P83" s="19">
        <v>278</v>
      </c>
      <c r="Q83" s="19" t="s">
        <v>13</v>
      </c>
      <c r="R83" s="19">
        <v>1</v>
      </c>
      <c r="S83" s="20">
        <v>45650</v>
      </c>
      <c r="T83" s="19" t="s">
        <v>34</v>
      </c>
      <c r="U83" s="39">
        <f>Table1[[#This Row],[QUANTITY]]*Table1[[#This Row],[PRICE]]</f>
        <v>872.52</v>
      </c>
    </row>
    <row r="84" spans="1:21">
      <c r="A84" s="19" t="s">
        <v>202</v>
      </c>
      <c r="B84" s="19" t="s">
        <v>5</v>
      </c>
      <c r="C84" s="19" t="s">
        <v>27</v>
      </c>
      <c r="D84" s="19" t="s">
        <v>53</v>
      </c>
      <c r="E84" s="20">
        <v>45445</v>
      </c>
      <c r="F84" s="19" t="s">
        <v>203</v>
      </c>
      <c r="G84" s="20">
        <v>45414</v>
      </c>
      <c r="H84" s="19" t="s">
        <v>29</v>
      </c>
      <c r="I84" s="19" t="s">
        <v>51</v>
      </c>
      <c r="J84" s="19" t="s">
        <v>11</v>
      </c>
      <c r="K84" s="19">
        <v>5</v>
      </c>
      <c r="L84" s="37">
        <v>207.86</v>
      </c>
      <c r="M84" s="19" t="s">
        <v>22</v>
      </c>
      <c r="N84" s="19">
        <v>20</v>
      </c>
      <c r="O84" s="20">
        <v>45761</v>
      </c>
      <c r="P84" s="19">
        <v>251</v>
      </c>
      <c r="Q84" s="19" t="s">
        <v>23</v>
      </c>
      <c r="R84" s="19">
        <v>4</v>
      </c>
      <c r="S84" s="20">
        <v>45878</v>
      </c>
      <c r="T84" s="19" t="s">
        <v>14</v>
      </c>
      <c r="U84" s="39">
        <f>Table1[[#This Row],[QUANTITY]]*Table1[[#This Row],[PRICE]]</f>
        <v>1039.3000000000002</v>
      </c>
    </row>
    <row r="85" spans="1:21">
      <c r="A85" s="19" t="s">
        <v>204</v>
      </c>
      <c r="B85" s="19" t="s">
        <v>26</v>
      </c>
      <c r="C85" s="19" t="s">
        <v>16</v>
      </c>
      <c r="D85" s="19" t="s">
        <v>31</v>
      </c>
      <c r="E85" s="20">
        <v>45418</v>
      </c>
      <c r="F85" s="19" t="s">
        <v>205</v>
      </c>
      <c r="G85" s="20">
        <v>45414</v>
      </c>
      <c r="H85" s="19" t="s">
        <v>44</v>
      </c>
      <c r="I85" s="19" t="s">
        <v>55</v>
      </c>
      <c r="J85" s="19" t="s">
        <v>11</v>
      </c>
      <c r="K85" s="19">
        <v>4</v>
      </c>
      <c r="L85" s="37">
        <v>340.15</v>
      </c>
      <c r="M85" s="19" t="s">
        <v>22</v>
      </c>
      <c r="N85" s="19">
        <v>44</v>
      </c>
      <c r="O85" s="20">
        <v>45818</v>
      </c>
      <c r="P85" s="19">
        <v>450</v>
      </c>
      <c r="Q85" s="19" t="s">
        <v>23</v>
      </c>
      <c r="S85" s="20">
        <v>45838</v>
      </c>
      <c r="T85" s="19" t="s">
        <v>24</v>
      </c>
      <c r="U85" s="39">
        <f>Table1[[#This Row],[QUANTITY]]*Table1[[#This Row],[PRICE]]</f>
        <v>1360.6</v>
      </c>
    </row>
    <row r="86" spans="1:21">
      <c r="A86" s="19" t="s">
        <v>206</v>
      </c>
      <c r="B86" s="19" t="s">
        <v>26</v>
      </c>
      <c r="C86" s="19" t="s">
        <v>6</v>
      </c>
      <c r="D86" s="19" t="s">
        <v>17</v>
      </c>
      <c r="E86" s="20">
        <v>45869</v>
      </c>
      <c r="F86" s="19" t="s">
        <v>207</v>
      </c>
      <c r="G86" s="20">
        <v>45414</v>
      </c>
      <c r="H86" s="19" t="s">
        <v>44</v>
      </c>
      <c r="I86" s="19" t="s">
        <v>20</v>
      </c>
      <c r="J86" s="19" t="s">
        <v>21</v>
      </c>
      <c r="K86" s="19">
        <v>5</v>
      </c>
      <c r="L86" s="37">
        <v>117.17</v>
      </c>
      <c r="M86" s="19" t="s">
        <v>12</v>
      </c>
      <c r="N86" s="19">
        <v>32</v>
      </c>
      <c r="O86" s="20">
        <v>45755</v>
      </c>
      <c r="P86" s="19">
        <v>488</v>
      </c>
      <c r="Q86" s="19" t="s">
        <v>13</v>
      </c>
      <c r="R86" s="19">
        <v>3</v>
      </c>
      <c r="S86" s="20">
        <v>45599</v>
      </c>
      <c r="T86" s="19" t="s">
        <v>34</v>
      </c>
      <c r="U86" s="39">
        <f>Table1[[#This Row],[QUANTITY]]*Table1[[#This Row],[PRICE]]</f>
        <v>585.85</v>
      </c>
    </row>
    <row r="87" spans="1:21">
      <c r="A87" s="19" t="s">
        <v>208</v>
      </c>
      <c r="B87" s="19" t="s">
        <v>5</v>
      </c>
      <c r="C87" s="19" t="s">
        <v>27</v>
      </c>
      <c r="D87" s="19" t="s">
        <v>53</v>
      </c>
      <c r="E87" s="20">
        <v>45865</v>
      </c>
      <c r="F87" s="19" t="s">
        <v>209</v>
      </c>
      <c r="G87" s="20">
        <v>45414</v>
      </c>
      <c r="H87" s="19" t="s">
        <v>9</v>
      </c>
      <c r="I87" s="19" t="s">
        <v>51</v>
      </c>
      <c r="J87" s="19" t="s">
        <v>48</v>
      </c>
      <c r="K87" s="19">
        <v>4</v>
      </c>
      <c r="L87" s="37">
        <v>849.63</v>
      </c>
      <c r="M87" s="19" t="s">
        <v>12</v>
      </c>
      <c r="N87" s="19">
        <v>1</v>
      </c>
      <c r="O87" s="20">
        <v>45716</v>
      </c>
      <c r="P87" s="19">
        <v>482</v>
      </c>
      <c r="Q87" s="19" t="s">
        <v>23</v>
      </c>
      <c r="S87" s="20">
        <v>45621</v>
      </c>
      <c r="T87" s="19" t="s">
        <v>24</v>
      </c>
      <c r="U87" s="39">
        <f>Table1[[#This Row],[QUANTITY]]*Table1[[#This Row],[PRICE]]</f>
        <v>3398.52</v>
      </c>
    </row>
    <row r="88" spans="1:21">
      <c r="A88" s="19" t="s">
        <v>210</v>
      </c>
      <c r="B88" s="19" t="s">
        <v>26</v>
      </c>
      <c r="C88" s="19" t="s">
        <v>16</v>
      </c>
      <c r="D88" s="19" t="s">
        <v>7</v>
      </c>
      <c r="E88" s="20">
        <v>45494</v>
      </c>
      <c r="F88" s="19" t="s">
        <v>211</v>
      </c>
      <c r="G88" s="20">
        <v>45415</v>
      </c>
      <c r="H88" s="19" t="s">
        <v>9</v>
      </c>
      <c r="I88" s="19" t="s">
        <v>55</v>
      </c>
      <c r="J88" s="19" t="s">
        <v>33</v>
      </c>
      <c r="K88" s="19">
        <v>4</v>
      </c>
      <c r="L88" s="37">
        <v>1349.93</v>
      </c>
      <c r="M88" s="19" t="s">
        <v>38</v>
      </c>
      <c r="N88" s="19">
        <v>14</v>
      </c>
      <c r="O88" s="20">
        <v>45763</v>
      </c>
      <c r="P88" s="19">
        <v>2</v>
      </c>
      <c r="Q88" s="19" t="s">
        <v>23</v>
      </c>
      <c r="S88" s="20">
        <v>45771</v>
      </c>
      <c r="T88" s="19" t="s">
        <v>24</v>
      </c>
      <c r="U88" s="39">
        <f>Table1[[#This Row],[QUANTITY]]*Table1[[#This Row],[PRICE]]</f>
        <v>5399.72</v>
      </c>
    </row>
    <row r="89" spans="1:21">
      <c r="A89" s="19" t="s">
        <v>212</v>
      </c>
      <c r="B89" s="19" t="s">
        <v>46</v>
      </c>
      <c r="C89" s="19" t="s">
        <v>27</v>
      </c>
      <c r="D89" s="19" t="s">
        <v>70</v>
      </c>
      <c r="E89" s="20">
        <v>45234</v>
      </c>
      <c r="F89" s="19" t="s">
        <v>213</v>
      </c>
      <c r="G89" s="20">
        <v>45415</v>
      </c>
      <c r="H89" s="19" t="s">
        <v>19</v>
      </c>
      <c r="I89" s="19" t="s">
        <v>10</v>
      </c>
      <c r="J89" s="19" t="s">
        <v>33</v>
      </c>
      <c r="K89" s="19">
        <v>4</v>
      </c>
      <c r="L89" s="37">
        <v>1130.54</v>
      </c>
      <c r="M89" s="19" t="s">
        <v>38</v>
      </c>
      <c r="N89" s="19">
        <v>14</v>
      </c>
      <c r="O89" s="20">
        <v>45775</v>
      </c>
      <c r="P89" s="19">
        <v>315</v>
      </c>
      <c r="Q89" s="19" t="s">
        <v>23</v>
      </c>
      <c r="R89" s="19">
        <v>2</v>
      </c>
      <c r="S89" s="20">
        <v>45580</v>
      </c>
      <c r="T89" s="19" t="s">
        <v>14</v>
      </c>
      <c r="U89" s="39">
        <f>Table1[[#This Row],[QUANTITY]]*Table1[[#This Row],[PRICE]]</f>
        <v>4522.16</v>
      </c>
    </row>
    <row r="90" spans="1:21">
      <c r="A90" s="19" t="s">
        <v>214</v>
      </c>
      <c r="B90" s="19" t="s">
        <v>46</v>
      </c>
      <c r="C90" s="19" t="s">
        <v>27</v>
      </c>
      <c r="D90" s="19" t="s">
        <v>31</v>
      </c>
      <c r="E90" s="20">
        <v>45681</v>
      </c>
      <c r="F90" s="19" t="s">
        <v>215</v>
      </c>
      <c r="G90" s="20">
        <v>45415</v>
      </c>
      <c r="H90" s="19" t="s">
        <v>9</v>
      </c>
      <c r="I90" s="19" t="s">
        <v>51</v>
      </c>
      <c r="J90" s="19" t="s">
        <v>21</v>
      </c>
      <c r="K90" s="19">
        <v>5</v>
      </c>
      <c r="L90" s="37">
        <v>726.46</v>
      </c>
      <c r="M90" s="19" t="s">
        <v>22</v>
      </c>
      <c r="N90" s="19">
        <v>11</v>
      </c>
      <c r="O90" s="20">
        <v>45624</v>
      </c>
      <c r="P90" s="19">
        <v>386</v>
      </c>
      <c r="Q90" s="19" t="s">
        <v>13</v>
      </c>
      <c r="R90" s="19">
        <v>4</v>
      </c>
      <c r="S90" s="20">
        <v>45647</v>
      </c>
      <c r="T90" s="19" t="s">
        <v>14</v>
      </c>
      <c r="U90" s="39">
        <f>Table1[[#This Row],[QUANTITY]]*Table1[[#This Row],[PRICE]]</f>
        <v>3632.3</v>
      </c>
    </row>
    <row r="91" spans="1:21">
      <c r="A91" s="19" t="s">
        <v>216</v>
      </c>
      <c r="B91" s="19" t="s">
        <v>26</v>
      </c>
      <c r="C91" s="19" t="s">
        <v>6</v>
      </c>
      <c r="D91" s="19" t="s">
        <v>53</v>
      </c>
      <c r="E91" s="20">
        <v>45519</v>
      </c>
      <c r="F91" s="19" t="s">
        <v>217</v>
      </c>
      <c r="G91" s="20">
        <v>45415</v>
      </c>
      <c r="H91" s="19" t="s">
        <v>19</v>
      </c>
      <c r="I91" s="19" t="s">
        <v>55</v>
      </c>
      <c r="J91" s="19" t="s">
        <v>33</v>
      </c>
      <c r="K91" s="19">
        <v>2</v>
      </c>
      <c r="L91" s="37">
        <v>1172.17</v>
      </c>
      <c r="M91" s="19" t="s">
        <v>22</v>
      </c>
      <c r="N91" s="19">
        <v>6</v>
      </c>
      <c r="O91" s="20">
        <v>45857</v>
      </c>
      <c r="P91" s="19">
        <v>315</v>
      </c>
      <c r="Q91" s="19" t="s">
        <v>23</v>
      </c>
      <c r="S91" s="20">
        <v>45751</v>
      </c>
      <c r="T91" s="19" t="s">
        <v>24</v>
      </c>
      <c r="U91" s="39">
        <f>Table1[[#This Row],[QUANTITY]]*Table1[[#This Row],[PRICE]]</f>
        <v>2344.34</v>
      </c>
    </row>
    <row r="92" spans="1:21">
      <c r="A92" s="19" t="s">
        <v>218</v>
      </c>
      <c r="B92" s="19" t="s">
        <v>26</v>
      </c>
      <c r="C92" s="19" t="s">
        <v>16</v>
      </c>
      <c r="D92" s="19" t="s">
        <v>70</v>
      </c>
      <c r="E92" s="20">
        <v>45479</v>
      </c>
      <c r="F92" s="19" t="s">
        <v>219</v>
      </c>
      <c r="G92" s="20">
        <v>45415</v>
      </c>
      <c r="H92" s="19" t="s">
        <v>44</v>
      </c>
      <c r="I92" s="19" t="s">
        <v>20</v>
      </c>
      <c r="J92" s="19" t="s">
        <v>11</v>
      </c>
      <c r="K92" s="19">
        <v>2</v>
      </c>
      <c r="L92" s="37">
        <v>702.87</v>
      </c>
      <c r="M92" s="19" t="s">
        <v>22</v>
      </c>
      <c r="N92" s="19">
        <v>20</v>
      </c>
      <c r="O92" s="20">
        <v>45836</v>
      </c>
      <c r="P92" s="19">
        <v>258</v>
      </c>
      <c r="Q92" s="19" t="s">
        <v>23</v>
      </c>
      <c r="S92" s="20">
        <v>45533</v>
      </c>
      <c r="T92" s="19" t="s">
        <v>24</v>
      </c>
      <c r="U92" s="39">
        <f>Table1[[#This Row],[QUANTITY]]*Table1[[#This Row],[PRICE]]</f>
        <v>1405.74</v>
      </c>
    </row>
    <row r="93" spans="1:21">
      <c r="A93" s="19" t="s">
        <v>220</v>
      </c>
      <c r="B93" s="19" t="s">
        <v>5</v>
      </c>
      <c r="C93" s="19" t="s">
        <v>6</v>
      </c>
      <c r="D93" s="19" t="s">
        <v>31</v>
      </c>
      <c r="E93" s="20">
        <v>45431</v>
      </c>
      <c r="F93" s="19" t="s">
        <v>221</v>
      </c>
      <c r="G93" s="20">
        <v>45415</v>
      </c>
      <c r="H93" s="19" t="s">
        <v>29</v>
      </c>
      <c r="I93" s="19" t="s">
        <v>10</v>
      </c>
      <c r="J93" s="19" t="s">
        <v>33</v>
      </c>
      <c r="K93" s="19">
        <v>5</v>
      </c>
      <c r="L93" s="37">
        <v>739.23</v>
      </c>
      <c r="M93" s="19" t="s">
        <v>12</v>
      </c>
      <c r="N93" s="19">
        <v>33</v>
      </c>
      <c r="O93" s="20">
        <v>45782</v>
      </c>
      <c r="P93" s="19">
        <v>333</v>
      </c>
      <c r="Q93" s="19" t="s">
        <v>23</v>
      </c>
      <c r="S93" s="20">
        <v>45566</v>
      </c>
      <c r="T93" s="19" t="s">
        <v>24</v>
      </c>
      <c r="U93" s="39">
        <f>Table1[[#This Row],[QUANTITY]]*Table1[[#This Row],[PRICE]]</f>
        <v>3696.15</v>
      </c>
    </row>
    <row r="94" spans="1:21">
      <c r="A94" s="19" t="s">
        <v>222</v>
      </c>
      <c r="B94" s="19" t="s">
        <v>5</v>
      </c>
      <c r="C94" s="19" t="s">
        <v>6</v>
      </c>
      <c r="D94" s="19" t="s">
        <v>7</v>
      </c>
      <c r="E94" s="20">
        <v>45348</v>
      </c>
      <c r="F94" s="19" t="s">
        <v>223</v>
      </c>
      <c r="G94" s="20">
        <v>45416</v>
      </c>
      <c r="H94" s="19" t="s">
        <v>29</v>
      </c>
      <c r="I94" s="19" t="s">
        <v>20</v>
      </c>
      <c r="J94" s="19" t="s">
        <v>33</v>
      </c>
      <c r="K94" s="19">
        <v>5</v>
      </c>
      <c r="L94" s="37">
        <v>419.55</v>
      </c>
      <c r="M94" s="19" t="s">
        <v>38</v>
      </c>
      <c r="N94" s="19">
        <v>50</v>
      </c>
      <c r="O94" s="20">
        <v>45564</v>
      </c>
      <c r="P94" s="19">
        <v>241</v>
      </c>
      <c r="Q94" s="19" t="s">
        <v>23</v>
      </c>
      <c r="R94" s="19">
        <v>5</v>
      </c>
      <c r="S94" s="20">
        <v>45650</v>
      </c>
      <c r="T94" s="19" t="s">
        <v>14</v>
      </c>
      <c r="U94" s="39">
        <f>Table1[[#This Row],[QUANTITY]]*Table1[[#This Row],[PRICE]]</f>
        <v>2097.75</v>
      </c>
    </row>
    <row r="95" spans="1:21">
      <c r="A95" s="19" t="s">
        <v>224</v>
      </c>
      <c r="B95" s="19" t="s">
        <v>26</v>
      </c>
      <c r="C95" s="19" t="s">
        <v>16</v>
      </c>
      <c r="D95" s="19" t="s">
        <v>70</v>
      </c>
      <c r="E95" s="20">
        <v>45744</v>
      </c>
      <c r="F95" s="19" t="s">
        <v>225</v>
      </c>
      <c r="G95" s="20">
        <v>45416</v>
      </c>
      <c r="H95" s="19" t="s">
        <v>62</v>
      </c>
      <c r="I95" s="19" t="s">
        <v>37</v>
      </c>
      <c r="J95" s="19" t="s">
        <v>21</v>
      </c>
      <c r="K95" s="19">
        <v>3</v>
      </c>
      <c r="L95" s="37">
        <v>876.4</v>
      </c>
      <c r="M95" s="19" t="s">
        <v>12</v>
      </c>
      <c r="N95" s="19">
        <v>7</v>
      </c>
      <c r="O95" s="20">
        <v>45774</v>
      </c>
      <c r="P95" s="19">
        <v>137</v>
      </c>
      <c r="Q95" s="19" t="s">
        <v>23</v>
      </c>
      <c r="S95" s="20">
        <v>45530</v>
      </c>
      <c r="T95" s="19" t="s">
        <v>24</v>
      </c>
      <c r="U95" s="39">
        <f>Table1[[#This Row],[QUANTITY]]*Table1[[#This Row],[PRICE]]</f>
        <v>2629.2</v>
      </c>
    </row>
    <row r="96" spans="1:21">
      <c r="A96" s="19" t="s">
        <v>226</v>
      </c>
      <c r="B96" s="19" t="s">
        <v>5</v>
      </c>
      <c r="C96" s="19" t="s">
        <v>16</v>
      </c>
      <c r="D96" s="19" t="s">
        <v>70</v>
      </c>
      <c r="E96" s="20">
        <v>45587</v>
      </c>
      <c r="F96" s="19" t="s">
        <v>227</v>
      </c>
      <c r="G96" s="20">
        <v>45416</v>
      </c>
      <c r="H96" s="19" t="s">
        <v>62</v>
      </c>
      <c r="I96" s="19" t="s">
        <v>20</v>
      </c>
      <c r="J96" s="19" t="s">
        <v>11</v>
      </c>
      <c r="K96" s="19">
        <v>3</v>
      </c>
      <c r="L96" s="37">
        <v>236.93</v>
      </c>
      <c r="M96" s="19" t="s">
        <v>38</v>
      </c>
      <c r="N96" s="19">
        <v>49</v>
      </c>
      <c r="O96" s="20">
        <v>45699</v>
      </c>
      <c r="P96" s="19">
        <v>446</v>
      </c>
      <c r="Q96" s="19" t="s">
        <v>23</v>
      </c>
      <c r="R96" s="19">
        <v>3</v>
      </c>
      <c r="S96" s="20">
        <v>45682</v>
      </c>
      <c r="T96" s="19" t="s">
        <v>14</v>
      </c>
      <c r="U96" s="39">
        <f>Table1[[#This Row],[QUANTITY]]*Table1[[#This Row],[PRICE]]</f>
        <v>710.79</v>
      </c>
    </row>
    <row r="97" spans="1:21">
      <c r="A97" s="19" t="s">
        <v>228</v>
      </c>
      <c r="B97" s="19" t="s">
        <v>5</v>
      </c>
      <c r="C97" s="19" t="s">
        <v>6</v>
      </c>
      <c r="D97" s="19" t="s">
        <v>70</v>
      </c>
      <c r="E97" s="20">
        <v>45189</v>
      </c>
      <c r="F97" s="19" t="s">
        <v>229</v>
      </c>
      <c r="G97" s="20">
        <v>45416</v>
      </c>
      <c r="H97" s="19" t="s">
        <v>62</v>
      </c>
      <c r="I97" s="19" t="s">
        <v>37</v>
      </c>
      <c r="J97" s="19" t="s">
        <v>21</v>
      </c>
      <c r="K97" s="19">
        <v>1</v>
      </c>
      <c r="L97" s="37">
        <v>171.97</v>
      </c>
      <c r="M97" s="19" t="s">
        <v>12</v>
      </c>
      <c r="N97" s="19">
        <v>19</v>
      </c>
      <c r="O97" s="20">
        <v>45544</v>
      </c>
      <c r="P97" s="19">
        <v>412</v>
      </c>
      <c r="Q97" s="19" t="s">
        <v>13</v>
      </c>
      <c r="R97" s="19">
        <v>4</v>
      </c>
      <c r="S97" s="20">
        <v>45692</v>
      </c>
      <c r="T97" s="19" t="s">
        <v>14</v>
      </c>
      <c r="U97" s="39">
        <f>Table1[[#This Row],[QUANTITY]]*Table1[[#This Row],[PRICE]]</f>
        <v>171.97</v>
      </c>
    </row>
    <row r="98" spans="1:21">
      <c r="A98" s="19" t="s">
        <v>230</v>
      </c>
      <c r="B98" s="19" t="s">
        <v>5</v>
      </c>
      <c r="C98" s="19" t="s">
        <v>6</v>
      </c>
      <c r="D98" s="19" t="s">
        <v>7</v>
      </c>
      <c r="E98" s="20">
        <v>45523</v>
      </c>
      <c r="F98" s="19" t="s">
        <v>231</v>
      </c>
      <c r="G98" s="20">
        <v>45416</v>
      </c>
      <c r="H98" s="19" t="s">
        <v>29</v>
      </c>
      <c r="I98" s="19" t="s">
        <v>20</v>
      </c>
      <c r="J98" s="19" t="s">
        <v>48</v>
      </c>
      <c r="K98" s="19">
        <v>5</v>
      </c>
      <c r="L98" s="37">
        <v>799.38</v>
      </c>
      <c r="M98" s="19" t="s">
        <v>12</v>
      </c>
      <c r="N98" s="19">
        <v>42</v>
      </c>
      <c r="O98" s="20">
        <v>45618</v>
      </c>
      <c r="P98" s="19">
        <v>300</v>
      </c>
      <c r="Q98" s="19" t="s">
        <v>23</v>
      </c>
      <c r="R98" s="19">
        <v>2</v>
      </c>
      <c r="S98" s="20">
        <v>45587</v>
      </c>
      <c r="T98" s="19" t="s">
        <v>14</v>
      </c>
      <c r="U98" s="39">
        <f>Table1[[#This Row],[QUANTITY]]*Table1[[#This Row],[PRICE]]</f>
        <v>3996.9</v>
      </c>
    </row>
    <row r="99" spans="1:21">
      <c r="A99" s="19" t="s">
        <v>232</v>
      </c>
      <c r="B99" s="19" t="s">
        <v>26</v>
      </c>
      <c r="C99" s="19" t="s">
        <v>16</v>
      </c>
      <c r="D99" s="19" t="s">
        <v>31</v>
      </c>
      <c r="E99" s="20">
        <v>45847</v>
      </c>
      <c r="F99" s="19" t="s">
        <v>233</v>
      </c>
      <c r="G99" s="20">
        <v>45416</v>
      </c>
      <c r="H99" s="19" t="s">
        <v>62</v>
      </c>
      <c r="I99" s="19" t="s">
        <v>37</v>
      </c>
      <c r="J99" s="19" t="s">
        <v>48</v>
      </c>
      <c r="K99" s="19">
        <v>1</v>
      </c>
      <c r="L99" s="37">
        <v>492.37</v>
      </c>
      <c r="M99" s="19" t="s">
        <v>22</v>
      </c>
      <c r="N99" s="19">
        <v>4</v>
      </c>
      <c r="O99" s="20">
        <v>45707</v>
      </c>
      <c r="P99" s="19">
        <v>348</v>
      </c>
      <c r="Q99" s="19" t="s">
        <v>23</v>
      </c>
      <c r="R99" s="19">
        <v>2</v>
      </c>
      <c r="S99" s="20">
        <v>45804</v>
      </c>
      <c r="T99" s="19" t="s">
        <v>14</v>
      </c>
      <c r="U99" s="39">
        <f>Table1[[#This Row],[QUANTITY]]*Table1[[#This Row],[PRICE]]</f>
        <v>492.37</v>
      </c>
    </row>
    <row r="100" spans="1:21">
      <c r="A100" s="19" t="s">
        <v>234</v>
      </c>
      <c r="B100" s="19" t="s">
        <v>46</v>
      </c>
      <c r="C100" s="19" t="s">
        <v>16</v>
      </c>
      <c r="D100" s="19" t="s">
        <v>31</v>
      </c>
      <c r="E100" s="20">
        <v>45706</v>
      </c>
      <c r="F100" s="19" t="s">
        <v>235</v>
      </c>
      <c r="G100" s="20">
        <v>45417</v>
      </c>
      <c r="H100" s="19" t="s">
        <v>29</v>
      </c>
      <c r="I100" s="19" t="s">
        <v>37</v>
      </c>
      <c r="J100" s="19" t="s">
        <v>48</v>
      </c>
      <c r="K100" s="19">
        <v>3</v>
      </c>
      <c r="L100" s="37">
        <v>806.34</v>
      </c>
      <c r="M100" s="19" t="s">
        <v>38</v>
      </c>
      <c r="N100" s="19">
        <v>18</v>
      </c>
      <c r="O100" s="20">
        <v>45700</v>
      </c>
      <c r="P100" s="19">
        <v>278</v>
      </c>
      <c r="Q100" s="19" t="s">
        <v>13</v>
      </c>
      <c r="S100" s="20">
        <v>45652</v>
      </c>
      <c r="T100" s="19" t="s">
        <v>24</v>
      </c>
      <c r="U100" s="39">
        <f>Table1[[#This Row],[QUANTITY]]*Table1[[#This Row],[PRICE]]</f>
        <v>2419.02</v>
      </c>
    </row>
    <row r="101" spans="1:21">
      <c r="A101" s="19" t="s">
        <v>236</v>
      </c>
      <c r="B101" s="19" t="s">
        <v>5</v>
      </c>
      <c r="C101" s="19" t="s">
        <v>27</v>
      </c>
      <c r="D101" s="19" t="s">
        <v>31</v>
      </c>
      <c r="E101" s="20">
        <v>45596</v>
      </c>
      <c r="F101" s="19" t="s">
        <v>237</v>
      </c>
      <c r="G101" s="20">
        <v>45417</v>
      </c>
      <c r="H101" s="19" t="s">
        <v>62</v>
      </c>
      <c r="I101" s="19" t="s">
        <v>20</v>
      </c>
      <c r="J101" s="19" t="s">
        <v>41</v>
      </c>
      <c r="K101" s="19">
        <v>2</v>
      </c>
      <c r="L101" s="37">
        <v>1304.69</v>
      </c>
      <c r="M101" s="19" t="s">
        <v>22</v>
      </c>
      <c r="N101" s="19">
        <v>27</v>
      </c>
      <c r="O101" s="20">
        <v>45590</v>
      </c>
      <c r="P101" s="19">
        <v>436</v>
      </c>
      <c r="Q101" s="19" t="s">
        <v>23</v>
      </c>
      <c r="R101" s="19">
        <v>3</v>
      </c>
      <c r="S101" s="20">
        <v>45665</v>
      </c>
      <c r="T101" s="19" t="s">
        <v>14</v>
      </c>
      <c r="U101" s="39">
        <f>Table1[[#This Row],[QUANTITY]]*Table1[[#This Row],[PRICE]]</f>
        <v>2609.38</v>
      </c>
    </row>
    <row r="102" spans="1:21">
      <c r="A102" s="19" t="s">
        <v>238</v>
      </c>
      <c r="B102" s="19" t="s">
        <v>5</v>
      </c>
      <c r="C102" s="19" t="s">
        <v>27</v>
      </c>
      <c r="D102" s="19" t="s">
        <v>7</v>
      </c>
      <c r="E102" s="20">
        <v>45602</v>
      </c>
      <c r="F102" s="19" t="s">
        <v>239</v>
      </c>
      <c r="G102" s="20">
        <v>45417</v>
      </c>
      <c r="H102" s="19" t="s">
        <v>62</v>
      </c>
      <c r="I102" s="19" t="s">
        <v>37</v>
      </c>
      <c r="J102" s="19" t="s">
        <v>21</v>
      </c>
      <c r="K102" s="19">
        <v>4</v>
      </c>
      <c r="L102" s="37">
        <v>1344.23</v>
      </c>
      <c r="M102" s="19" t="s">
        <v>38</v>
      </c>
      <c r="N102" s="19">
        <v>45</v>
      </c>
      <c r="O102" s="20">
        <v>45772</v>
      </c>
      <c r="P102" s="19">
        <v>398</v>
      </c>
      <c r="Q102" s="19" t="s">
        <v>13</v>
      </c>
      <c r="S102" s="20">
        <v>45883</v>
      </c>
      <c r="T102" s="19" t="s">
        <v>24</v>
      </c>
      <c r="U102" s="39">
        <f>Table1[[#This Row],[QUANTITY]]*Table1[[#This Row],[PRICE]]</f>
        <v>5376.92</v>
      </c>
    </row>
    <row r="103" spans="1:21">
      <c r="A103" s="19" t="s">
        <v>240</v>
      </c>
      <c r="B103" s="19" t="s">
        <v>46</v>
      </c>
      <c r="C103" s="19" t="s">
        <v>27</v>
      </c>
      <c r="D103" s="19" t="s">
        <v>7</v>
      </c>
      <c r="E103" s="20">
        <v>45512</v>
      </c>
      <c r="F103" s="19" t="s">
        <v>241</v>
      </c>
      <c r="G103" s="20">
        <v>45417</v>
      </c>
      <c r="H103" s="19" t="s">
        <v>29</v>
      </c>
      <c r="I103" s="19" t="s">
        <v>37</v>
      </c>
      <c r="J103" s="19" t="s">
        <v>21</v>
      </c>
      <c r="K103" s="19">
        <v>2</v>
      </c>
      <c r="L103" s="37">
        <v>1146.6400000000001</v>
      </c>
      <c r="M103" s="19" t="s">
        <v>22</v>
      </c>
      <c r="N103" s="19">
        <v>23</v>
      </c>
      <c r="O103" s="20">
        <v>45641</v>
      </c>
      <c r="P103" s="19">
        <v>401</v>
      </c>
      <c r="Q103" s="19" t="s">
        <v>23</v>
      </c>
      <c r="S103" s="20">
        <v>45614</v>
      </c>
      <c r="T103" s="19" t="s">
        <v>24</v>
      </c>
      <c r="U103" s="39">
        <f>Table1[[#This Row],[QUANTITY]]*Table1[[#This Row],[PRICE]]</f>
        <v>2293.2800000000002</v>
      </c>
    </row>
    <row r="104" spans="1:21">
      <c r="A104" s="19" t="s">
        <v>242</v>
      </c>
      <c r="B104" s="19" t="s">
        <v>26</v>
      </c>
      <c r="C104" s="19" t="s">
        <v>16</v>
      </c>
      <c r="D104" s="19" t="s">
        <v>7</v>
      </c>
      <c r="E104" s="20">
        <v>45666</v>
      </c>
      <c r="F104" s="19" t="s">
        <v>243</v>
      </c>
      <c r="G104" s="20">
        <v>45417</v>
      </c>
      <c r="H104" s="19" t="s">
        <v>9</v>
      </c>
      <c r="I104" s="19" t="s">
        <v>20</v>
      </c>
      <c r="J104" s="19" t="s">
        <v>48</v>
      </c>
      <c r="K104" s="19">
        <v>3</v>
      </c>
      <c r="L104" s="37">
        <v>197.07</v>
      </c>
      <c r="M104" s="19" t="s">
        <v>38</v>
      </c>
      <c r="N104" s="19">
        <v>38</v>
      </c>
      <c r="O104" s="20">
        <v>45615</v>
      </c>
      <c r="P104" s="19">
        <v>20</v>
      </c>
      <c r="Q104" s="19" t="s">
        <v>23</v>
      </c>
      <c r="R104" s="19">
        <v>4</v>
      </c>
      <c r="S104" s="20">
        <v>45752</v>
      </c>
      <c r="T104" s="19" t="s">
        <v>14</v>
      </c>
      <c r="U104" s="39">
        <f>Table1[[#This Row],[QUANTITY]]*Table1[[#This Row],[PRICE]]</f>
        <v>591.21</v>
      </c>
    </row>
    <row r="105" spans="1:21">
      <c r="A105" s="19" t="s">
        <v>244</v>
      </c>
      <c r="B105" s="19" t="s">
        <v>26</v>
      </c>
      <c r="C105" s="19" t="s">
        <v>16</v>
      </c>
      <c r="D105" s="19" t="s">
        <v>31</v>
      </c>
      <c r="E105" s="20">
        <v>45338</v>
      </c>
      <c r="F105" s="19" t="s">
        <v>245</v>
      </c>
      <c r="G105" s="20">
        <v>45417</v>
      </c>
      <c r="H105" s="19" t="s">
        <v>29</v>
      </c>
      <c r="I105" s="19" t="s">
        <v>10</v>
      </c>
      <c r="J105" s="19" t="s">
        <v>11</v>
      </c>
      <c r="K105" s="19">
        <v>4</v>
      </c>
      <c r="L105" s="37">
        <v>1317.71</v>
      </c>
      <c r="M105" s="19" t="s">
        <v>12</v>
      </c>
      <c r="N105" s="19">
        <v>36</v>
      </c>
      <c r="O105" s="20">
        <v>45609</v>
      </c>
      <c r="P105" s="19">
        <v>252</v>
      </c>
      <c r="Q105" s="19" t="s">
        <v>13</v>
      </c>
      <c r="S105" s="20">
        <v>45744</v>
      </c>
      <c r="T105" s="19" t="s">
        <v>24</v>
      </c>
      <c r="U105" s="39">
        <f>Table1[[#This Row],[QUANTITY]]*Table1[[#This Row],[PRICE]]</f>
        <v>5270.84</v>
      </c>
    </row>
    <row r="106" spans="1:21">
      <c r="A106" s="19" t="s">
        <v>246</v>
      </c>
      <c r="B106" s="19" t="s">
        <v>26</v>
      </c>
      <c r="C106" s="19" t="s">
        <v>16</v>
      </c>
      <c r="D106" s="19" t="s">
        <v>7</v>
      </c>
      <c r="E106" s="20">
        <v>45626</v>
      </c>
      <c r="F106" s="19" t="s">
        <v>247</v>
      </c>
      <c r="G106" s="20">
        <v>45417</v>
      </c>
      <c r="H106" s="19" t="s">
        <v>9</v>
      </c>
      <c r="I106" s="19" t="s">
        <v>51</v>
      </c>
      <c r="J106" s="19" t="s">
        <v>33</v>
      </c>
      <c r="K106" s="19">
        <v>4</v>
      </c>
      <c r="L106" s="37">
        <v>137.37</v>
      </c>
      <c r="M106" s="19" t="s">
        <v>12</v>
      </c>
      <c r="N106" s="19">
        <v>33</v>
      </c>
      <c r="O106" s="20">
        <v>45785</v>
      </c>
      <c r="P106" s="19">
        <v>412</v>
      </c>
      <c r="Q106" s="19" t="s">
        <v>23</v>
      </c>
      <c r="S106" s="20">
        <v>45752</v>
      </c>
      <c r="T106" s="19" t="s">
        <v>24</v>
      </c>
      <c r="U106" s="39">
        <f>Table1[[#This Row],[QUANTITY]]*Table1[[#This Row],[PRICE]]</f>
        <v>549.48</v>
      </c>
    </row>
    <row r="107" spans="1:21">
      <c r="A107" s="19" t="s">
        <v>248</v>
      </c>
      <c r="B107" s="19" t="s">
        <v>5</v>
      </c>
      <c r="C107" s="19" t="s">
        <v>27</v>
      </c>
      <c r="D107" s="19" t="s">
        <v>17</v>
      </c>
      <c r="E107" s="20">
        <v>45704</v>
      </c>
      <c r="F107" s="19" t="s">
        <v>249</v>
      </c>
      <c r="G107" s="20">
        <v>45418</v>
      </c>
      <c r="H107" s="19" t="s">
        <v>9</v>
      </c>
      <c r="I107" s="19" t="s">
        <v>10</v>
      </c>
      <c r="J107" s="19" t="s">
        <v>21</v>
      </c>
      <c r="K107" s="19">
        <v>2</v>
      </c>
      <c r="L107" s="37">
        <v>438.7</v>
      </c>
      <c r="M107" s="19" t="s">
        <v>12</v>
      </c>
      <c r="N107" s="19">
        <v>24</v>
      </c>
      <c r="O107" s="20">
        <v>45540</v>
      </c>
      <c r="P107" s="19">
        <v>64</v>
      </c>
      <c r="Q107" s="19" t="s">
        <v>13</v>
      </c>
      <c r="R107" s="19">
        <v>2</v>
      </c>
      <c r="S107" s="20">
        <v>45877</v>
      </c>
      <c r="T107" s="19" t="s">
        <v>34</v>
      </c>
      <c r="U107" s="39">
        <f>Table1[[#This Row],[QUANTITY]]*Table1[[#This Row],[PRICE]]</f>
        <v>877.4</v>
      </c>
    </row>
    <row r="108" spans="1:21">
      <c r="A108" s="19" t="s">
        <v>250</v>
      </c>
      <c r="B108" s="19" t="s">
        <v>46</v>
      </c>
      <c r="C108" s="19" t="s">
        <v>6</v>
      </c>
      <c r="D108" s="19" t="s">
        <v>17</v>
      </c>
      <c r="E108" s="20">
        <v>45185</v>
      </c>
      <c r="F108" s="19" t="s">
        <v>251</v>
      </c>
      <c r="G108" s="20">
        <v>45418</v>
      </c>
      <c r="H108" s="19" t="s">
        <v>9</v>
      </c>
      <c r="I108" s="19" t="s">
        <v>10</v>
      </c>
      <c r="J108" s="19" t="s">
        <v>48</v>
      </c>
      <c r="K108" s="19">
        <v>2</v>
      </c>
      <c r="L108" s="37">
        <v>1080.01</v>
      </c>
      <c r="M108" s="19" t="s">
        <v>38</v>
      </c>
      <c r="N108" s="19">
        <v>41</v>
      </c>
      <c r="O108" s="20">
        <v>45589</v>
      </c>
      <c r="P108" s="19">
        <v>106</v>
      </c>
      <c r="Q108" s="19" t="s">
        <v>23</v>
      </c>
      <c r="R108" s="19">
        <v>3</v>
      </c>
      <c r="S108" s="20">
        <v>45862</v>
      </c>
      <c r="T108" s="19" t="s">
        <v>14</v>
      </c>
      <c r="U108" s="39">
        <f>Table1[[#This Row],[QUANTITY]]*Table1[[#This Row],[PRICE]]</f>
        <v>2160.02</v>
      </c>
    </row>
    <row r="109" spans="1:21">
      <c r="A109" s="19" t="s">
        <v>252</v>
      </c>
      <c r="B109" s="19" t="s">
        <v>5</v>
      </c>
      <c r="C109" s="19" t="s">
        <v>6</v>
      </c>
      <c r="D109" s="19" t="s">
        <v>53</v>
      </c>
      <c r="E109" s="20">
        <v>45605</v>
      </c>
      <c r="F109" s="19" t="s">
        <v>253</v>
      </c>
      <c r="G109" s="20">
        <v>45418</v>
      </c>
      <c r="H109" s="19" t="s">
        <v>19</v>
      </c>
      <c r="I109" s="19" t="s">
        <v>37</v>
      </c>
      <c r="J109" s="19" t="s">
        <v>41</v>
      </c>
      <c r="K109" s="19">
        <v>3</v>
      </c>
      <c r="L109" s="37">
        <v>1180.1300000000001</v>
      </c>
      <c r="M109" s="19" t="s">
        <v>38</v>
      </c>
      <c r="N109" s="19">
        <v>15</v>
      </c>
      <c r="O109" s="20">
        <v>45673</v>
      </c>
      <c r="P109" s="19">
        <v>373</v>
      </c>
      <c r="Q109" s="19" t="s">
        <v>13</v>
      </c>
      <c r="R109" s="19">
        <v>5</v>
      </c>
      <c r="S109" s="20">
        <v>45759</v>
      </c>
      <c r="T109" s="19" t="s">
        <v>34</v>
      </c>
      <c r="U109" s="39">
        <f>Table1[[#This Row],[QUANTITY]]*Table1[[#This Row],[PRICE]]</f>
        <v>3540.3900000000003</v>
      </c>
    </row>
    <row r="110" spans="1:21">
      <c r="A110" s="19" t="s">
        <v>254</v>
      </c>
      <c r="B110" s="19" t="s">
        <v>46</v>
      </c>
      <c r="C110" s="19" t="s">
        <v>6</v>
      </c>
      <c r="D110" s="19" t="s">
        <v>53</v>
      </c>
      <c r="E110" s="20">
        <v>45623</v>
      </c>
      <c r="F110" s="19" t="s">
        <v>255</v>
      </c>
      <c r="G110" s="20">
        <v>45418</v>
      </c>
      <c r="H110" s="19" t="s">
        <v>9</v>
      </c>
      <c r="I110" s="19" t="s">
        <v>55</v>
      </c>
      <c r="J110" s="19" t="s">
        <v>48</v>
      </c>
      <c r="K110" s="19">
        <v>2</v>
      </c>
      <c r="L110" s="37">
        <v>804.13</v>
      </c>
      <c r="M110" s="19" t="s">
        <v>38</v>
      </c>
      <c r="N110" s="19">
        <v>26</v>
      </c>
      <c r="O110" s="20">
        <v>45832</v>
      </c>
      <c r="P110" s="19">
        <v>298</v>
      </c>
      <c r="Q110" s="19" t="s">
        <v>13</v>
      </c>
      <c r="R110" s="19">
        <v>1</v>
      </c>
      <c r="S110" s="20">
        <v>45771</v>
      </c>
      <c r="T110" s="19" t="s">
        <v>34</v>
      </c>
      <c r="U110" s="39">
        <f>Table1[[#This Row],[QUANTITY]]*Table1[[#This Row],[PRICE]]</f>
        <v>1608.26</v>
      </c>
    </row>
    <row r="111" spans="1:21">
      <c r="A111" s="19" t="s">
        <v>256</v>
      </c>
      <c r="B111" s="19" t="s">
        <v>26</v>
      </c>
      <c r="C111" s="19" t="s">
        <v>27</v>
      </c>
      <c r="D111" s="19" t="s">
        <v>53</v>
      </c>
      <c r="E111" s="20">
        <v>45433</v>
      </c>
      <c r="F111" s="19" t="s">
        <v>257</v>
      </c>
      <c r="G111" s="20">
        <v>45418</v>
      </c>
      <c r="H111" s="19" t="s">
        <v>9</v>
      </c>
      <c r="I111" s="19" t="s">
        <v>20</v>
      </c>
      <c r="J111" s="19" t="s">
        <v>21</v>
      </c>
      <c r="K111" s="19">
        <v>5</v>
      </c>
      <c r="L111" s="37">
        <v>333.34</v>
      </c>
      <c r="M111" s="19" t="s">
        <v>22</v>
      </c>
      <c r="N111" s="19">
        <v>18</v>
      </c>
      <c r="O111" s="20">
        <v>45846</v>
      </c>
      <c r="P111" s="19">
        <v>258</v>
      </c>
      <c r="Q111" s="19" t="s">
        <v>23</v>
      </c>
      <c r="R111" s="19">
        <v>1</v>
      </c>
      <c r="S111" s="20">
        <v>45526</v>
      </c>
      <c r="T111" s="19" t="s">
        <v>34</v>
      </c>
      <c r="U111" s="39">
        <f>Table1[[#This Row],[QUANTITY]]*Table1[[#This Row],[PRICE]]</f>
        <v>1666.6999999999998</v>
      </c>
    </row>
    <row r="112" spans="1:21">
      <c r="A112" s="19" t="s">
        <v>258</v>
      </c>
      <c r="B112" s="19" t="s">
        <v>26</v>
      </c>
      <c r="C112" s="19" t="s">
        <v>16</v>
      </c>
      <c r="D112" s="19" t="s">
        <v>7</v>
      </c>
      <c r="E112" s="20">
        <v>45298</v>
      </c>
      <c r="F112" s="19" t="s">
        <v>259</v>
      </c>
      <c r="G112" s="20">
        <v>45419</v>
      </c>
      <c r="H112" s="19" t="s">
        <v>9</v>
      </c>
      <c r="I112" s="19" t="s">
        <v>37</v>
      </c>
      <c r="J112" s="19" t="s">
        <v>21</v>
      </c>
      <c r="K112" s="19">
        <v>1</v>
      </c>
      <c r="L112" s="37">
        <v>834.97</v>
      </c>
      <c r="M112" s="19" t="s">
        <v>12</v>
      </c>
      <c r="N112" s="19">
        <v>31</v>
      </c>
      <c r="O112" s="20">
        <v>45527</v>
      </c>
      <c r="P112" s="19">
        <v>263</v>
      </c>
      <c r="Q112" s="19" t="s">
        <v>13</v>
      </c>
      <c r="R112" s="19">
        <v>1</v>
      </c>
      <c r="S112" s="20">
        <v>45546</v>
      </c>
      <c r="T112" s="19" t="s">
        <v>34</v>
      </c>
      <c r="U112" s="39">
        <f>Table1[[#This Row],[QUANTITY]]*Table1[[#This Row],[PRICE]]</f>
        <v>834.97</v>
      </c>
    </row>
    <row r="113" spans="1:21">
      <c r="A113" s="19" t="s">
        <v>260</v>
      </c>
      <c r="B113" s="19" t="s">
        <v>5</v>
      </c>
      <c r="C113" s="19" t="s">
        <v>16</v>
      </c>
      <c r="D113" s="19" t="s">
        <v>31</v>
      </c>
      <c r="E113" s="20">
        <v>45843</v>
      </c>
      <c r="F113" s="19" t="s">
        <v>261</v>
      </c>
      <c r="G113" s="20">
        <v>45419</v>
      </c>
      <c r="H113" s="19" t="s">
        <v>29</v>
      </c>
      <c r="I113" s="19" t="s">
        <v>55</v>
      </c>
      <c r="J113" s="19" t="s">
        <v>48</v>
      </c>
      <c r="K113" s="19">
        <v>2</v>
      </c>
      <c r="L113" s="37">
        <v>1079.19</v>
      </c>
      <c r="M113" s="19" t="s">
        <v>12</v>
      </c>
      <c r="N113" s="19">
        <v>4</v>
      </c>
      <c r="O113" s="20">
        <v>45555</v>
      </c>
      <c r="P113" s="19">
        <v>9</v>
      </c>
      <c r="Q113" s="19" t="s">
        <v>13</v>
      </c>
      <c r="R113" s="19">
        <v>1</v>
      </c>
      <c r="S113" s="20">
        <v>45872</v>
      </c>
      <c r="T113" s="19" t="s">
        <v>34</v>
      </c>
      <c r="U113" s="39">
        <f>Table1[[#This Row],[QUANTITY]]*Table1[[#This Row],[PRICE]]</f>
        <v>2158.38</v>
      </c>
    </row>
    <row r="114" spans="1:21">
      <c r="A114" s="19" t="s">
        <v>262</v>
      </c>
      <c r="B114" s="19" t="s">
        <v>26</v>
      </c>
      <c r="C114" s="19" t="s">
        <v>6</v>
      </c>
      <c r="D114" s="19" t="s">
        <v>7</v>
      </c>
      <c r="E114" s="20">
        <v>45367</v>
      </c>
      <c r="F114" s="19" t="s">
        <v>263</v>
      </c>
      <c r="G114" s="20">
        <v>45419</v>
      </c>
      <c r="H114" s="19" t="s">
        <v>29</v>
      </c>
      <c r="I114" s="19" t="s">
        <v>55</v>
      </c>
      <c r="J114" s="19" t="s">
        <v>41</v>
      </c>
      <c r="K114" s="19">
        <v>5</v>
      </c>
      <c r="L114" s="37">
        <v>537.33000000000004</v>
      </c>
      <c r="M114" s="19" t="s">
        <v>22</v>
      </c>
      <c r="N114" s="19">
        <v>33</v>
      </c>
      <c r="O114" s="20">
        <v>45647</v>
      </c>
      <c r="P114" s="19">
        <v>239</v>
      </c>
      <c r="Q114" s="19" t="s">
        <v>13</v>
      </c>
      <c r="R114" s="19">
        <v>2</v>
      </c>
      <c r="S114" s="20">
        <v>45775</v>
      </c>
      <c r="T114" s="19" t="s">
        <v>34</v>
      </c>
      <c r="U114" s="39">
        <f>Table1[[#This Row],[QUANTITY]]*Table1[[#This Row],[PRICE]]</f>
        <v>2686.65</v>
      </c>
    </row>
    <row r="115" spans="1:21">
      <c r="A115" s="19" t="s">
        <v>264</v>
      </c>
      <c r="B115" s="19" t="s">
        <v>26</v>
      </c>
      <c r="C115" s="19" t="s">
        <v>6</v>
      </c>
      <c r="D115" s="19" t="s">
        <v>7</v>
      </c>
      <c r="E115" s="20">
        <v>45660</v>
      </c>
      <c r="F115" s="19" t="s">
        <v>265</v>
      </c>
      <c r="G115" s="20">
        <v>45419</v>
      </c>
      <c r="H115" s="19" t="s">
        <v>62</v>
      </c>
      <c r="I115" s="19" t="s">
        <v>51</v>
      </c>
      <c r="J115" s="19" t="s">
        <v>21</v>
      </c>
      <c r="K115" s="19">
        <v>1</v>
      </c>
      <c r="L115" s="37">
        <v>896.27</v>
      </c>
      <c r="M115" s="19" t="s">
        <v>22</v>
      </c>
      <c r="N115" s="19">
        <v>11</v>
      </c>
      <c r="O115" s="20">
        <v>45699</v>
      </c>
      <c r="P115" s="19">
        <v>61</v>
      </c>
      <c r="Q115" s="19" t="s">
        <v>23</v>
      </c>
      <c r="R115" s="19">
        <v>2</v>
      </c>
      <c r="S115" s="20">
        <v>45530</v>
      </c>
      <c r="T115" s="19" t="s">
        <v>14</v>
      </c>
      <c r="U115" s="39">
        <f>Table1[[#This Row],[QUANTITY]]*Table1[[#This Row],[PRICE]]</f>
        <v>896.27</v>
      </c>
    </row>
    <row r="116" spans="1:21">
      <c r="A116" s="19" t="s">
        <v>266</v>
      </c>
      <c r="B116" s="19" t="s">
        <v>5</v>
      </c>
      <c r="C116" s="19" t="s">
        <v>27</v>
      </c>
      <c r="D116" s="19" t="s">
        <v>53</v>
      </c>
      <c r="E116" s="20">
        <v>45390</v>
      </c>
      <c r="F116" s="19" t="s">
        <v>267</v>
      </c>
      <c r="G116" s="20">
        <v>45419</v>
      </c>
      <c r="H116" s="19" t="s">
        <v>19</v>
      </c>
      <c r="I116" s="19" t="s">
        <v>20</v>
      </c>
      <c r="J116" s="19" t="s">
        <v>21</v>
      </c>
      <c r="K116" s="19">
        <v>2</v>
      </c>
      <c r="L116" s="37">
        <v>489.76</v>
      </c>
      <c r="M116" s="19" t="s">
        <v>38</v>
      </c>
      <c r="N116" s="19">
        <v>45</v>
      </c>
      <c r="O116" s="20">
        <v>45798</v>
      </c>
      <c r="P116" s="19">
        <v>59</v>
      </c>
      <c r="Q116" s="19" t="s">
        <v>23</v>
      </c>
      <c r="R116" s="19">
        <v>5</v>
      </c>
      <c r="S116" s="20">
        <v>45697</v>
      </c>
      <c r="T116" s="19" t="s">
        <v>34</v>
      </c>
      <c r="U116" s="39">
        <f>Table1[[#This Row],[QUANTITY]]*Table1[[#This Row],[PRICE]]</f>
        <v>979.52</v>
      </c>
    </row>
    <row r="117" spans="1:21">
      <c r="A117" s="19" t="s">
        <v>268</v>
      </c>
      <c r="B117" s="19" t="s">
        <v>5</v>
      </c>
      <c r="C117" s="19" t="s">
        <v>16</v>
      </c>
      <c r="D117" s="19" t="s">
        <v>70</v>
      </c>
      <c r="E117" s="20">
        <v>45181</v>
      </c>
      <c r="F117" s="19" t="s">
        <v>269</v>
      </c>
      <c r="G117" s="20">
        <v>45419</v>
      </c>
      <c r="H117" s="19" t="s">
        <v>44</v>
      </c>
      <c r="I117" s="19" t="s">
        <v>37</v>
      </c>
      <c r="J117" s="19" t="s">
        <v>48</v>
      </c>
      <c r="K117" s="19">
        <v>3</v>
      </c>
      <c r="L117" s="37">
        <v>1024.57</v>
      </c>
      <c r="M117" s="19" t="s">
        <v>38</v>
      </c>
      <c r="N117" s="19">
        <v>32</v>
      </c>
      <c r="O117" s="20">
        <v>45867</v>
      </c>
      <c r="P117" s="19">
        <v>409</v>
      </c>
      <c r="Q117" s="19" t="s">
        <v>23</v>
      </c>
      <c r="R117" s="19">
        <v>4</v>
      </c>
      <c r="S117" s="20">
        <v>45646</v>
      </c>
      <c r="T117" s="19" t="s">
        <v>14</v>
      </c>
      <c r="U117" s="39">
        <f>Table1[[#This Row],[QUANTITY]]*Table1[[#This Row],[PRICE]]</f>
        <v>3073.71</v>
      </c>
    </row>
    <row r="118" spans="1:21">
      <c r="A118" s="19" t="s">
        <v>270</v>
      </c>
      <c r="B118" s="19" t="s">
        <v>5</v>
      </c>
      <c r="C118" s="19" t="s">
        <v>16</v>
      </c>
      <c r="D118" s="19" t="s">
        <v>17</v>
      </c>
      <c r="E118" s="20">
        <v>45853</v>
      </c>
      <c r="F118" s="19" t="s">
        <v>271</v>
      </c>
      <c r="G118" s="20">
        <v>45420</v>
      </c>
      <c r="H118" s="19" t="s">
        <v>29</v>
      </c>
      <c r="I118" s="19" t="s">
        <v>55</v>
      </c>
      <c r="J118" s="19" t="s">
        <v>21</v>
      </c>
      <c r="K118" s="19">
        <v>3</v>
      </c>
      <c r="L118" s="37">
        <v>143.13999999999999</v>
      </c>
      <c r="M118" s="19" t="s">
        <v>12</v>
      </c>
      <c r="N118" s="19">
        <v>12</v>
      </c>
      <c r="O118" s="20">
        <v>45828</v>
      </c>
      <c r="P118" s="19">
        <v>491</v>
      </c>
      <c r="Q118" s="19" t="s">
        <v>13</v>
      </c>
      <c r="R118" s="19">
        <v>2</v>
      </c>
      <c r="S118" s="20">
        <v>45729</v>
      </c>
      <c r="T118" s="19" t="s">
        <v>34</v>
      </c>
      <c r="U118" s="39">
        <f>Table1[[#This Row],[QUANTITY]]*Table1[[#This Row],[PRICE]]</f>
        <v>429.41999999999996</v>
      </c>
    </row>
    <row r="119" spans="1:21">
      <c r="A119" s="19" t="s">
        <v>272</v>
      </c>
      <c r="B119" s="19" t="s">
        <v>46</v>
      </c>
      <c r="C119" s="19" t="s">
        <v>27</v>
      </c>
      <c r="D119" s="19" t="s">
        <v>7</v>
      </c>
      <c r="E119" s="20">
        <v>45759</v>
      </c>
      <c r="F119" s="19" t="s">
        <v>273</v>
      </c>
      <c r="G119" s="20">
        <v>45420</v>
      </c>
      <c r="H119" s="19" t="s">
        <v>29</v>
      </c>
      <c r="I119" s="19" t="s">
        <v>20</v>
      </c>
      <c r="J119" s="19" t="s">
        <v>21</v>
      </c>
      <c r="K119" s="19">
        <v>3</v>
      </c>
      <c r="L119" s="37">
        <v>209.88</v>
      </c>
      <c r="M119" s="19" t="s">
        <v>22</v>
      </c>
      <c r="N119" s="19">
        <v>32</v>
      </c>
      <c r="O119" s="20">
        <v>45767</v>
      </c>
      <c r="P119" s="19">
        <v>66</v>
      </c>
      <c r="Q119" s="19" t="s">
        <v>23</v>
      </c>
      <c r="R119" s="19">
        <v>4</v>
      </c>
      <c r="S119" s="20">
        <v>45541</v>
      </c>
      <c r="T119" s="19" t="s">
        <v>34</v>
      </c>
      <c r="U119" s="39">
        <f>Table1[[#This Row],[QUANTITY]]*Table1[[#This Row],[PRICE]]</f>
        <v>629.64</v>
      </c>
    </row>
    <row r="120" spans="1:21">
      <c r="A120" s="19" t="s">
        <v>274</v>
      </c>
      <c r="B120" s="19" t="s">
        <v>5</v>
      </c>
      <c r="C120" s="19" t="s">
        <v>27</v>
      </c>
      <c r="D120" s="19" t="s">
        <v>17</v>
      </c>
      <c r="E120" s="20">
        <v>45561</v>
      </c>
      <c r="F120" s="19" t="s">
        <v>275</v>
      </c>
      <c r="G120" s="20">
        <v>45420</v>
      </c>
      <c r="H120" s="19" t="s">
        <v>44</v>
      </c>
      <c r="I120" s="19" t="s">
        <v>10</v>
      </c>
      <c r="J120" s="19" t="s">
        <v>21</v>
      </c>
      <c r="K120" s="19">
        <v>2</v>
      </c>
      <c r="L120" s="37">
        <v>906.22</v>
      </c>
      <c r="M120" s="19" t="s">
        <v>38</v>
      </c>
      <c r="N120" s="19">
        <v>11</v>
      </c>
      <c r="O120" s="20">
        <v>45573</v>
      </c>
      <c r="P120" s="19">
        <v>439</v>
      </c>
      <c r="Q120" s="19" t="s">
        <v>13</v>
      </c>
      <c r="S120" s="20">
        <v>45809</v>
      </c>
      <c r="T120" s="19" t="s">
        <v>24</v>
      </c>
      <c r="U120" s="39">
        <f>Table1[[#This Row],[QUANTITY]]*Table1[[#This Row],[PRICE]]</f>
        <v>1812.44</v>
      </c>
    </row>
    <row r="121" spans="1:21">
      <c r="A121" s="19" t="s">
        <v>276</v>
      </c>
      <c r="B121" s="19" t="s">
        <v>5</v>
      </c>
      <c r="C121" s="19" t="s">
        <v>6</v>
      </c>
      <c r="D121" s="19" t="s">
        <v>31</v>
      </c>
      <c r="E121" s="20">
        <v>45744</v>
      </c>
      <c r="F121" s="19" t="s">
        <v>277</v>
      </c>
      <c r="G121" s="20">
        <v>45420</v>
      </c>
      <c r="H121" s="19" t="s">
        <v>19</v>
      </c>
      <c r="I121" s="19" t="s">
        <v>20</v>
      </c>
      <c r="J121" s="19" t="s">
        <v>33</v>
      </c>
      <c r="K121" s="19">
        <v>3</v>
      </c>
      <c r="L121" s="37">
        <v>1282.8699999999999</v>
      </c>
      <c r="M121" s="19" t="s">
        <v>22</v>
      </c>
      <c r="N121" s="19">
        <v>46</v>
      </c>
      <c r="O121" s="20">
        <v>45595</v>
      </c>
      <c r="P121" s="19">
        <v>480</v>
      </c>
      <c r="Q121" s="19" t="s">
        <v>13</v>
      </c>
      <c r="R121" s="19">
        <v>5</v>
      </c>
      <c r="S121" s="20">
        <v>45601</v>
      </c>
      <c r="T121" s="19" t="s">
        <v>34</v>
      </c>
      <c r="U121" s="39">
        <f>Table1[[#This Row],[QUANTITY]]*Table1[[#This Row],[PRICE]]</f>
        <v>3848.6099999999997</v>
      </c>
    </row>
    <row r="122" spans="1:21">
      <c r="A122" s="19" t="s">
        <v>278</v>
      </c>
      <c r="B122" s="19" t="s">
        <v>46</v>
      </c>
      <c r="C122" s="19" t="s">
        <v>27</v>
      </c>
      <c r="D122" s="19" t="s">
        <v>7</v>
      </c>
      <c r="E122" s="20">
        <v>45870</v>
      </c>
      <c r="F122" s="19" t="s">
        <v>279</v>
      </c>
      <c r="G122" s="20">
        <v>45420</v>
      </c>
      <c r="H122" s="19" t="s">
        <v>9</v>
      </c>
      <c r="I122" s="19" t="s">
        <v>55</v>
      </c>
      <c r="J122" s="19" t="s">
        <v>48</v>
      </c>
      <c r="K122" s="19">
        <v>1</v>
      </c>
      <c r="L122" s="37">
        <v>900.48</v>
      </c>
      <c r="M122" s="19" t="s">
        <v>12</v>
      </c>
      <c r="N122" s="19">
        <v>13</v>
      </c>
      <c r="O122" s="20">
        <v>45858</v>
      </c>
      <c r="P122" s="19">
        <v>28</v>
      </c>
      <c r="Q122" s="19" t="s">
        <v>23</v>
      </c>
      <c r="R122" s="19">
        <v>5</v>
      </c>
      <c r="S122" s="20">
        <v>45824</v>
      </c>
      <c r="T122" s="19" t="s">
        <v>34</v>
      </c>
      <c r="U122" s="39">
        <f>Table1[[#This Row],[QUANTITY]]*Table1[[#This Row],[PRICE]]</f>
        <v>900.48</v>
      </c>
    </row>
    <row r="123" spans="1:21">
      <c r="A123" s="19" t="s">
        <v>280</v>
      </c>
      <c r="B123" s="19" t="s">
        <v>26</v>
      </c>
      <c r="C123" s="19" t="s">
        <v>27</v>
      </c>
      <c r="D123" s="19" t="s">
        <v>7</v>
      </c>
      <c r="E123" s="20">
        <v>45509</v>
      </c>
      <c r="F123" s="19" t="s">
        <v>281</v>
      </c>
      <c r="G123" s="20">
        <v>45420</v>
      </c>
      <c r="H123" s="19" t="s">
        <v>19</v>
      </c>
      <c r="I123" s="19" t="s">
        <v>55</v>
      </c>
      <c r="J123" s="19" t="s">
        <v>48</v>
      </c>
      <c r="K123" s="19">
        <v>2</v>
      </c>
      <c r="L123" s="37">
        <v>734.06</v>
      </c>
      <c r="M123" s="19" t="s">
        <v>22</v>
      </c>
      <c r="N123" s="19">
        <v>39</v>
      </c>
      <c r="O123" s="20">
        <v>45779</v>
      </c>
      <c r="P123" s="19">
        <v>120</v>
      </c>
      <c r="Q123" s="19" t="s">
        <v>13</v>
      </c>
      <c r="S123" s="20">
        <v>45558</v>
      </c>
      <c r="T123" s="19" t="s">
        <v>24</v>
      </c>
      <c r="U123" s="39">
        <f>Table1[[#This Row],[QUANTITY]]*Table1[[#This Row],[PRICE]]</f>
        <v>1468.12</v>
      </c>
    </row>
    <row r="124" spans="1:21">
      <c r="A124" s="19" t="s">
        <v>282</v>
      </c>
      <c r="B124" s="19" t="s">
        <v>26</v>
      </c>
      <c r="C124" s="19" t="s">
        <v>27</v>
      </c>
      <c r="D124" s="19" t="s">
        <v>7</v>
      </c>
      <c r="E124" s="20">
        <v>45521</v>
      </c>
      <c r="F124" s="19" t="s">
        <v>283</v>
      </c>
      <c r="G124" s="20">
        <v>45420</v>
      </c>
      <c r="H124" s="19" t="s">
        <v>62</v>
      </c>
      <c r="I124" s="19" t="s">
        <v>20</v>
      </c>
      <c r="J124" s="19" t="s">
        <v>11</v>
      </c>
      <c r="K124" s="19">
        <v>1</v>
      </c>
      <c r="L124" s="37">
        <v>733.23</v>
      </c>
      <c r="M124" s="19" t="s">
        <v>22</v>
      </c>
      <c r="N124" s="19">
        <v>26</v>
      </c>
      <c r="O124" s="20">
        <v>45614</v>
      </c>
      <c r="P124" s="19">
        <v>299</v>
      </c>
      <c r="Q124" s="19" t="s">
        <v>23</v>
      </c>
      <c r="R124" s="19">
        <v>3</v>
      </c>
      <c r="S124" s="20">
        <v>45547</v>
      </c>
      <c r="T124" s="19" t="s">
        <v>14</v>
      </c>
      <c r="U124" s="39">
        <f>Table1[[#This Row],[QUANTITY]]*Table1[[#This Row],[PRICE]]</f>
        <v>733.23</v>
      </c>
    </row>
    <row r="125" spans="1:21">
      <c r="A125" s="19" t="s">
        <v>284</v>
      </c>
      <c r="B125" s="19" t="s">
        <v>5</v>
      </c>
      <c r="C125" s="19" t="s">
        <v>16</v>
      </c>
      <c r="D125" s="19" t="s">
        <v>31</v>
      </c>
      <c r="E125" s="20">
        <v>45211</v>
      </c>
      <c r="F125" s="19" t="s">
        <v>285</v>
      </c>
      <c r="G125" s="20">
        <v>45420</v>
      </c>
      <c r="H125" s="19" t="s">
        <v>62</v>
      </c>
      <c r="I125" s="19" t="s">
        <v>10</v>
      </c>
      <c r="J125" s="19" t="s">
        <v>11</v>
      </c>
      <c r="K125" s="19">
        <v>4</v>
      </c>
      <c r="L125" s="37">
        <v>934.92</v>
      </c>
      <c r="M125" s="19" t="s">
        <v>12</v>
      </c>
      <c r="N125" s="19">
        <v>32</v>
      </c>
      <c r="O125" s="20">
        <v>45824</v>
      </c>
      <c r="P125" s="19">
        <v>327</v>
      </c>
      <c r="Q125" s="19" t="s">
        <v>13</v>
      </c>
      <c r="R125" s="19">
        <v>1</v>
      </c>
      <c r="S125" s="20">
        <v>45639</v>
      </c>
      <c r="T125" s="19" t="s">
        <v>14</v>
      </c>
      <c r="U125" s="39">
        <f>Table1[[#This Row],[QUANTITY]]*Table1[[#This Row],[PRICE]]</f>
        <v>3739.68</v>
      </c>
    </row>
    <row r="126" spans="1:21">
      <c r="A126" s="19" t="s">
        <v>286</v>
      </c>
      <c r="B126" s="19" t="s">
        <v>26</v>
      </c>
      <c r="C126" s="19" t="s">
        <v>27</v>
      </c>
      <c r="D126" s="19" t="s">
        <v>31</v>
      </c>
      <c r="E126" s="20">
        <v>45637</v>
      </c>
      <c r="F126" s="19" t="s">
        <v>287</v>
      </c>
      <c r="G126" s="20">
        <v>45420</v>
      </c>
      <c r="H126" s="19" t="s">
        <v>62</v>
      </c>
      <c r="I126" s="19" t="s">
        <v>37</v>
      </c>
      <c r="J126" s="19" t="s">
        <v>33</v>
      </c>
      <c r="K126" s="19">
        <v>2</v>
      </c>
      <c r="L126" s="37">
        <v>364.05</v>
      </c>
      <c r="M126" s="19" t="s">
        <v>12</v>
      </c>
      <c r="N126" s="19">
        <v>43</v>
      </c>
      <c r="O126" s="20">
        <v>45634</v>
      </c>
      <c r="P126" s="19">
        <v>244</v>
      </c>
      <c r="Q126" s="19" t="s">
        <v>13</v>
      </c>
      <c r="R126" s="19">
        <v>1</v>
      </c>
      <c r="S126" s="20">
        <v>45867</v>
      </c>
      <c r="T126" s="19" t="s">
        <v>34</v>
      </c>
      <c r="U126" s="39">
        <f>Table1[[#This Row],[QUANTITY]]*Table1[[#This Row],[PRICE]]</f>
        <v>728.1</v>
      </c>
    </row>
    <row r="127" spans="1:21">
      <c r="A127" s="19" t="s">
        <v>288</v>
      </c>
      <c r="B127" s="19" t="s">
        <v>5</v>
      </c>
      <c r="C127" s="19" t="s">
        <v>16</v>
      </c>
      <c r="D127" s="19" t="s">
        <v>17</v>
      </c>
      <c r="E127" s="20">
        <v>45777</v>
      </c>
      <c r="F127" s="19" t="s">
        <v>289</v>
      </c>
      <c r="G127" s="20">
        <v>45420</v>
      </c>
      <c r="H127" s="19" t="s">
        <v>9</v>
      </c>
      <c r="I127" s="19" t="s">
        <v>37</v>
      </c>
      <c r="J127" s="19" t="s">
        <v>41</v>
      </c>
      <c r="K127" s="19">
        <v>4</v>
      </c>
      <c r="L127" s="37">
        <v>495.96</v>
      </c>
      <c r="M127" s="19" t="s">
        <v>12</v>
      </c>
      <c r="N127" s="19">
        <v>14</v>
      </c>
      <c r="O127" s="20">
        <v>45526</v>
      </c>
      <c r="P127" s="19">
        <v>149</v>
      </c>
      <c r="Q127" s="19" t="s">
        <v>23</v>
      </c>
      <c r="R127" s="19">
        <v>5</v>
      </c>
      <c r="S127" s="20">
        <v>45701</v>
      </c>
      <c r="T127" s="19" t="s">
        <v>34</v>
      </c>
      <c r="U127" s="39">
        <f>Table1[[#This Row],[QUANTITY]]*Table1[[#This Row],[PRICE]]</f>
        <v>1983.84</v>
      </c>
    </row>
    <row r="128" spans="1:21">
      <c r="A128" s="19" t="s">
        <v>290</v>
      </c>
      <c r="B128" s="19" t="s">
        <v>46</v>
      </c>
      <c r="C128" s="19" t="s">
        <v>16</v>
      </c>
      <c r="D128" s="19" t="s">
        <v>31</v>
      </c>
      <c r="E128" s="20">
        <v>45669</v>
      </c>
      <c r="F128" s="19" t="s">
        <v>291</v>
      </c>
      <c r="G128" s="20">
        <v>45420</v>
      </c>
      <c r="H128" s="19" t="s">
        <v>44</v>
      </c>
      <c r="I128" s="19" t="s">
        <v>10</v>
      </c>
      <c r="J128" s="19" t="s">
        <v>48</v>
      </c>
      <c r="K128" s="19">
        <v>2</v>
      </c>
      <c r="L128" s="37">
        <v>706.91</v>
      </c>
      <c r="M128" s="19" t="s">
        <v>22</v>
      </c>
      <c r="N128" s="19">
        <v>27</v>
      </c>
      <c r="O128" s="20">
        <v>45694</v>
      </c>
      <c r="P128" s="19">
        <v>310</v>
      </c>
      <c r="Q128" s="19" t="s">
        <v>13</v>
      </c>
      <c r="R128" s="19">
        <v>2</v>
      </c>
      <c r="S128" s="20">
        <v>45705</v>
      </c>
      <c r="T128" s="19" t="s">
        <v>14</v>
      </c>
      <c r="U128" s="39">
        <f>Table1[[#This Row],[QUANTITY]]*Table1[[#This Row],[PRICE]]</f>
        <v>1413.82</v>
      </c>
    </row>
    <row r="129" spans="1:21">
      <c r="A129" s="19" t="s">
        <v>292</v>
      </c>
      <c r="B129" s="19" t="s">
        <v>26</v>
      </c>
      <c r="C129" s="19" t="s">
        <v>16</v>
      </c>
      <c r="D129" s="19" t="s">
        <v>31</v>
      </c>
      <c r="E129" s="20">
        <v>45690</v>
      </c>
      <c r="F129" s="19" t="s">
        <v>293</v>
      </c>
      <c r="G129" s="20">
        <v>45421</v>
      </c>
      <c r="H129" s="19" t="s">
        <v>44</v>
      </c>
      <c r="I129" s="19" t="s">
        <v>37</v>
      </c>
      <c r="J129" s="19" t="s">
        <v>21</v>
      </c>
      <c r="K129" s="19">
        <v>1</v>
      </c>
      <c r="L129" s="37">
        <v>219.54</v>
      </c>
      <c r="M129" s="19" t="s">
        <v>22</v>
      </c>
      <c r="N129" s="19">
        <v>42</v>
      </c>
      <c r="O129" s="20">
        <v>45561</v>
      </c>
      <c r="P129" s="19">
        <v>392</v>
      </c>
      <c r="Q129" s="19" t="s">
        <v>23</v>
      </c>
      <c r="S129" s="20">
        <v>45588</v>
      </c>
      <c r="T129" s="19" t="s">
        <v>24</v>
      </c>
      <c r="U129" s="39">
        <f>Table1[[#This Row],[QUANTITY]]*Table1[[#This Row],[PRICE]]</f>
        <v>219.54</v>
      </c>
    </row>
    <row r="130" spans="1:21">
      <c r="A130" s="19" t="s">
        <v>294</v>
      </c>
      <c r="B130" s="19" t="s">
        <v>26</v>
      </c>
      <c r="C130" s="19" t="s">
        <v>16</v>
      </c>
      <c r="D130" s="19" t="s">
        <v>7</v>
      </c>
      <c r="E130" s="20">
        <v>45784</v>
      </c>
      <c r="F130" s="19" t="s">
        <v>295</v>
      </c>
      <c r="G130" s="20">
        <v>45421</v>
      </c>
      <c r="H130" s="19" t="s">
        <v>29</v>
      </c>
      <c r="I130" s="19" t="s">
        <v>51</v>
      </c>
      <c r="J130" s="19" t="s">
        <v>21</v>
      </c>
      <c r="K130" s="19">
        <v>2</v>
      </c>
      <c r="L130" s="37">
        <v>114.74</v>
      </c>
      <c r="M130" s="19" t="s">
        <v>22</v>
      </c>
      <c r="N130" s="19">
        <v>30</v>
      </c>
      <c r="O130" s="20">
        <v>45663</v>
      </c>
      <c r="P130" s="19">
        <v>402</v>
      </c>
      <c r="Q130" s="19" t="s">
        <v>23</v>
      </c>
      <c r="S130" s="20">
        <v>45591</v>
      </c>
      <c r="T130" s="19" t="s">
        <v>24</v>
      </c>
      <c r="U130" s="39">
        <f>Table1[[#This Row],[QUANTITY]]*Table1[[#This Row],[PRICE]]</f>
        <v>229.48</v>
      </c>
    </row>
    <row r="131" spans="1:21">
      <c r="A131" s="19" t="s">
        <v>296</v>
      </c>
      <c r="B131" s="19" t="s">
        <v>5</v>
      </c>
      <c r="C131" s="19" t="s">
        <v>27</v>
      </c>
      <c r="D131" s="19" t="s">
        <v>31</v>
      </c>
      <c r="E131" s="20">
        <v>45189</v>
      </c>
      <c r="F131" s="19" t="s">
        <v>297</v>
      </c>
      <c r="G131" s="20">
        <v>45421</v>
      </c>
      <c r="H131" s="19" t="s">
        <v>9</v>
      </c>
      <c r="I131" s="19" t="s">
        <v>20</v>
      </c>
      <c r="J131" s="19" t="s">
        <v>48</v>
      </c>
      <c r="K131" s="19">
        <v>2</v>
      </c>
      <c r="L131" s="37">
        <v>988.27</v>
      </c>
      <c r="M131" s="19" t="s">
        <v>12</v>
      </c>
      <c r="N131" s="19">
        <v>10</v>
      </c>
      <c r="O131" s="20">
        <v>45638</v>
      </c>
      <c r="P131" s="19">
        <v>131</v>
      </c>
      <c r="Q131" s="19" t="s">
        <v>23</v>
      </c>
      <c r="R131" s="19">
        <v>3</v>
      </c>
      <c r="S131" s="20">
        <v>45752</v>
      </c>
      <c r="T131" s="19" t="s">
        <v>34</v>
      </c>
      <c r="U131" s="39">
        <f>Table1[[#This Row],[QUANTITY]]*Table1[[#This Row],[PRICE]]</f>
        <v>1976.54</v>
      </c>
    </row>
    <row r="132" spans="1:21">
      <c r="A132" s="19" t="s">
        <v>298</v>
      </c>
      <c r="B132" s="19" t="s">
        <v>46</v>
      </c>
      <c r="C132" s="19" t="s">
        <v>16</v>
      </c>
      <c r="D132" s="19" t="s">
        <v>17</v>
      </c>
      <c r="E132" s="20">
        <v>45740</v>
      </c>
      <c r="F132" s="19" t="s">
        <v>299</v>
      </c>
      <c r="G132" s="20">
        <v>45421</v>
      </c>
      <c r="H132" s="19" t="s">
        <v>62</v>
      </c>
      <c r="I132" s="19" t="s">
        <v>55</v>
      </c>
      <c r="J132" s="19" t="s">
        <v>48</v>
      </c>
      <c r="K132" s="19">
        <v>2</v>
      </c>
      <c r="L132" s="37">
        <v>1109.52</v>
      </c>
      <c r="M132" s="19" t="s">
        <v>22</v>
      </c>
      <c r="N132" s="19">
        <v>23</v>
      </c>
      <c r="O132" s="20">
        <v>45670</v>
      </c>
      <c r="P132" s="19">
        <v>423</v>
      </c>
      <c r="Q132" s="19" t="s">
        <v>13</v>
      </c>
      <c r="S132" s="20">
        <v>45576</v>
      </c>
      <c r="T132" s="19" t="s">
        <v>24</v>
      </c>
      <c r="U132" s="39">
        <f>Table1[[#This Row],[QUANTITY]]*Table1[[#This Row],[PRICE]]</f>
        <v>2219.04</v>
      </c>
    </row>
    <row r="133" spans="1:21">
      <c r="A133" s="19" t="s">
        <v>300</v>
      </c>
      <c r="B133" s="19" t="s">
        <v>5</v>
      </c>
      <c r="C133" s="19" t="s">
        <v>16</v>
      </c>
      <c r="D133" s="19" t="s">
        <v>31</v>
      </c>
      <c r="E133" s="20">
        <v>45784</v>
      </c>
      <c r="F133" s="19" t="s">
        <v>301</v>
      </c>
      <c r="G133" s="20">
        <v>45421</v>
      </c>
      <c r="H133" s="19" t="s">
        <v>9</v>
      </c>
      <c r="I133" s="19" t="s">
        <v>10</v>
      </c>
      <c r="J133" s="19" t="s">
        <v>33</v>
      </c>
      <c r="K133" s="19">
        <v>5</v>
      </c>
      <c r="L133" s="37">
        <v>818.91</v>
      </c>
      <c r="M133" s="19" t="s">
        <v>22</v>
      </c>
      <c r="N133" s="19">
        <v>35</v>
      </c>
      <c r="O133" s="20">
        <v>45845</v>
      </c>
      <c r="P133" s="19">
        <v>243</v>
      </c>
      <c r="Q133" s="19" t="s">
        <v>13</v>
      </c>
      <c r="S133" s="20">
        <v>45737</v>
      </c>
      <c r="T133" s="19" t="s">
        <v>24</v>
      </c>
      <c r="U133" s="39">
        <f>Table1[[#This Row],[QUANTITY]]*Table1[[#This Row],[PRICE]]</f>
        <v>4094.5499999999997</v>
      </c>
    </row>
    <row r="134" spans="1:21">
      <c r="A134" s="19" t="s">
        <v>302</v>
      </c>
      <c r="B134" s="19" t="s">
        <v>5</v>
      </c>
      <c r="C134" s="19" t="s">
        <v>16</v>
      </c>
      <c r="D134" s="19" t="s">
        <v>7</v>
      </c>
      <c r="E134" s="20">
        <v>45662</v>
      </c>
      <c r="F134" s="19" t="s">
        <v>303</v>
      </c>
      <c r="G134" s="20">
        <v>45421</v>
      </c>
      <c r="H134" s="19" t="s">
        <v>19</v>
      </c>
      <c r="I134" s="19" t="s">
        <v>20</v>
      </c>
      <c r="J134" s="19" t="s">
        <v>33</v>
      </c>
      <c r="K134" s="19">
        <v>1</v>
      </c>
      <c r="L134" s="37">
        <v>646.07000000000005</v>
      </c>
      <c r="M134" s="19" t="s">
        <v>38</v>
      </c>
      <c r="N134" s="19">
        <v>8</v>
      </c>
      <c r="O134" s="20">
        <v>45647</v>
      </c>
      <c r="P134" s="19">
        <v>278</v>
      </c>
      <c r="Q134" s="19" t="s">
        <v>13</v>
      </c>
      <c r="R134" s="19">
        <v>5</v>
      </c>
      <c r="S134" s="20">
        <v>45770</v>
      </c>
      <c r="T134" s="19" t="s">
        <v>14</v>
      </c>
      <c r="U134" s="39">
        <f>Table1[[#This Row],[QUANTITY]]*Table1[[#This Row],[PRICE]]</f>
        <v>646.07000000000005</v>
      </c>
    </row>
    <row r="135" spans="1:21">
      <c r="A135" s="19" t="s">
        <v>304</v>
      </c>
      <c r="B135" s="19" t="s">
        <v>26</v>
      </c>
      <c r="C135" s="19" t="s">
        <v>16</v>
      </c>
      <c r="D135" s="19" t="s">
        <v>53</v>
      </c>
      <c r="E135" s="20">
        <v>45414</v>
      </c>
      <c r="F135" s="19" t="s">
        <v>305</v>
      </c>
      <c r="G135" s="20">
        <v>45421</v>
      </c>
      <c r="H135" s="19" t="s">
        <v>44</v>
      </c>
      <c r="I135" s="19" t="s">
        <v>20</v>
      </c>
      <c r="J135" s="19" t="s">
        <v>11</v>
      </c>
      <c r="K135" s="19">
        <v>1</v>
      </c>
      <c r="L135" s="37">
        <v>1485.85</v>
      </c>
      <c r="M135" s="19" t="s">
        <v>22</v>
      </c>
      <c r="N135" s="19">
        <v>47</v>
      </c>
      <c r="O135" s="20">
        <v>45653</v>
      </c>
      <c r="P135" s="19">
        <v>393</v>
      </c>
      <c r="Q135" s="19" t="s">
        <v>23</v>
      </c>
      <c r="S135" s="20">
        <v>45731</v>
      </c>
      <c r="T135" s="19" t="s">
        <v>24</v>
      </c>
      <c r="U135" s="39">
        <f>Table1[[#This Row],[QUANTITY]]*Table1[[#This Row],[PRICE]]</f>
        <v>1485.85</v>
      </c>
    </row>
    <row r="136" spans="1:21">
      <c r="A136" s="19" t="s">
        <v>306</v>
      </c>
      <c r="B136" s="19" t="s">
        <v>5</v>
      </c>
      <c r="C136" s="19" t="s">
        <v>16</v>
      </c>
      <c r="D136" s="19" t="s">
        <v>70</v>
      </c>
      <c r="E136" s="20">
        <v>45414</v>
      </c>
      <c r="F136" s="19" t="s">
        <v>307</v>
      </c>
      <c r="G136" s="20">
        <v>45421</v>
      </c>
      <c r="H136" s="19" t="s">
        <v>29</v>
      </c>
      <c r="I136" s="19" t="s">
        <v>55</v>
      </c>
      <c r="J136" s="19" t="s">
        <v>11</v>
      </c>
      <c r="K136" s="19">
        <v>5</v>
      </c>
      <c r="L136" s="37">
        <v>1300.1500000000001</v>
      </c>
      <c r="M136" s="19" t="s">
        <v>38</v>
      </c>
      <c r="N136" s="19">
        <v>42</v>
      </c>
      <c r="O136" s="20">
        <v>45551</v>
      </c>
      <c r="P136" s="19">
        <v>14</v>
      </c>
      <c r="Q136" s="19" t="s">
        <v>23</v>
      </c>
      <c r="R136" s="19">
        <v>2</v>
      </c>
      <c r="S136" s="20">
        <v>45609</v>
      </c>
      <c r="T136" s="19" t="s">
        <v>34</v>
      </c>
      <c r="U136" s="39">
        <f>Table1[[#This Row],[QUANTITY]]*Table1[[#This Row],[PRICE]]</f>
        <v>6500.75</v>
      </c>
    </row>
    <row r="137" spans="1:21">
      <c r="A137" s="19" t="s">
        <v>308</v>
      </c>
      <c r="B137" s="19" t="s">
        <v>5</v>
      </c>
      <c r="C137" s="19" t="s">
        <v>6</v>
      </c>
      <c r="D137" s="19" t="s">
        <v>31</v>
      </c>
      <c r="E137" s="20">
        <v>45383</v>
      </c>
      <c r="F137" s="19" t="s">
        <v>309</v>
      </c>
      <c r="G137" s="20">
        <v>45422</v>
      </c>
      <c r="H137" s="19" t="s">
        <v>19</v>
      </c>
      <c r="I137" s="19" t="s">
        <v>10</v>
      </c>
      <c r="J137" s="19" t="s">
        <v>21</v>
      </c>
      <c r="K137" s="19">
        <v>5</v>
      </c>
      <c r="L137" s="37">
        <v>1469.53</v>
      </c>
      <c r="M137" s="19" t="s">
        <v>38</v>
      </c>
      <c r="N137" s="19">
        <v>13</v>
      </c>
      <c r="O137" s="20">
        <v>45811</v>
      </c>
      <c r="P137" s="19">
        <v>165</v>
      </c>
      <c r="Q137" s="19" t="s">
        <v>23</v>
      </c>
      <c r="R137" s="19">
        <v>5</v>
      </c>
      <c r="S137" s="20">
        <v>45748</v>
      </c>
      <c r="T137" s="19" t="s">
        <v>14</v>
      </c>
      <c r="U137" s="39">
        <f>Table1[[#This Row],[QUANTITY]]*Table1[[#This Row],[PRICE]]</f>
        <v>7347.65</v>
      </c>
    </row>
    <row r="138" spans="1:21">
      <c r="A138" s="19" t="s">
        <v>310</v>
      </c>
      <c r="B138" s="19" t="s">
        <v>46</v>
      </c>
      <c r="C138" s="19" t="s">
        <v>27</v>
      </c>
      <c r="D138" s="19" t="s">
        <v>53</v>
      </c>
      <c r="E138" s="20">
        <v>45245</v>
      </c>
      <c r="F138" s="19" t="s">
        <v>311</v>
      </c>
      <c r="G138" s="20">
        <v>45422</v>
      </c>
      <c r="H138" s="19" t="s">
        <v>9</v>
      </c>
      <c r="I138" s="19" t="s">
        <v>37</v>
      </c>
      <c r="J138" s="19" t="s">
        <v>11</v>
      </c>
      <c r="K138" s="19">
        <v>3</v>
      </c>
      <c r="L138" s="37">
        <v>1294.71</v>
      </c>
      <c r="M138" s="19" t="s">
        <v>22</v>
      </c>
      <c r="N138" s="19">
        <v>50</v>
      </c>
      <c r="O138" s="20">
        <v>45758</v>
      </c>
      <c r="P138" s="19">
        <v>161</v>
      </c>
      <c r="Q138" s="19" t="s">
        <v>23</v>
      </c>
      <c r="S138" s="20">
        <v>45823</v>
      </c>
      <c r="T138" s="19" t="s">
        <v>24</v>
      </c>
      <c r="U138" s="39">
        <f>Table1[[#This Row],[QUANTITY]]*Table1[[#This Row],[PRICE]]</f>
        <v>3884.13</v>
      </c>
    </row>
    <row r="139" spans="1:21">
      <c r="A139" s="19" t="s">
        <v>312</v>
      </c>
      <c r="B139" s="19" t="s">
        <v>26</v>
      </c>
      <c r="C139" s="19" t="s">
        <v>6</v>
      </c>
      <c r="D139" s="19" t="s">
        <v>17</v>
      </c>
      <c r="E139" s="20">
        <v>45162</v>
      </c>
      <c r="F139" s="19" t="s">
        <v>313</v>
      </c>
      <c r="G139" s="20">
        <v>45422</v>
      </c>
      <c r="H139" s="19" t="s">
        <v>9</v>
      </c>
      <c r="I139" s="19" t="s">
        <v>51</v>
      </c>
      <c r="J139" s="19" t="s">
        <v>48</v>
      </c>
      <c r="K139" s="19">
        <v>5</v>
      </c>
      <c r="L139" s="37">
        <v>290.25</v>
      </c>
      <c r="M139" s="19" t="s">
        <v>38</v>
      </c>
      <c r="N139" s="19">
        <v>29</v>
      </c>
      <c r="O139" s="20">
        <v>45822</v>
      </c>
      <c r="P139" s="19">
        <v>82</v>
      </c>
      <c r="Q139" s="19" t="s">
        <v>23</v>
      </c>
      <c r="R139" s="19">
        <v>1</v>
      </c>
      <c r="S139" s="20">
        <v>45798</v>
      </c>
      <c r="T139" s="19" t="s">
        <v>34</v>
      </c>
      <c r="U139" s="39">
        <f>Table1[[#This Row],[QUANTITY]]*Table1[[#This Row],[PRICE]]</f>
        <v>1451.25</v>
      </c>
    </row>
    <row r="140" spans="1:21">
      <c r="A140" s="19" t="s">
        <v>314</v>
      </c>
      <c r="B140" s="19" t="s">
        <v>46</v>
      </c>
      <c r="C140" s="19" t="s">
        <v>6</v>
      </c>
      <c r="D140" s="19" t="s">
        <v>70</v>
      </c>
      <c r="E140" s="20">
        <v>45170</v>
      </c>
      <c r="F140" s="19" t="s">
        <v>315</v>
      </c>
      <c r="G140" s="20">
        <v>45422</v>
      </c>
      <c r="H140" s="19" t="s">
        <v>19</v>
      </c>
      <c r="I140" s="19" t="s">
        <v>51</v>
      </c>
      <c r="J140" s="19" t="s">
        <v>11</v>
      </c>
      <c r="K140" s="19">
        <v>4</v>
      </c>
      <c r="L140" s="37">
        <v>539.85</v>
      </c>
      <c r="M140" s="19" t="s">
        <v>22</v>
      </c>
      <c r="N140" s="19">
        <v>21</v>
      </c>
      <c r="O140" s="20">
        <v>45596</v>
      </c>
      <c r="P140" s="19">
        <v>370</v>
      </c>
      <c r="Q140" s="19" t="s">
        <v>23</v>
      </c>
      <c r="S140" s="20">
        <v>45715</v>
      </c>
      <c r="T140" s="19" t="s">
        <v>24</v>
      </c>
      <c r="U140" s="39">
        <f>Table1[[#This Row],[QUANTITY]]*Table1[[#This Row],[PRICE]]</f>
        <v>2159.4</v>
      </c>
    </row>
    <row r="141" spans="1:21">
      <c r="A141" s="19" t="s">
        <v>316</v>
      </c>
      <c r="B141" s="19" t="s">
        <v>5</v>
      </c>
      <c r="C141" s="19" t="s">
        <v>27</v>
      </c>
      <c r="D141" s="19" t="s">
        <v>31</v>
      </c>
      <c r="E141" s="20">
        <v>45215</v>
      </c>
      <c r="F141" s="19" t="s">
        <v>317</v>
      </c>
      <c r="G141" s="20">
        <v>45422</v>
      </c>
      <c r="H141" s="19" t="s">
        <v>19</v>
      </c>
      <c r="I141" s="19" t="s">
        <v>10</v>
      </c>
      <c r="J141" s="19" t="s">
        <v>48</v>
      </c>
      <c r="K141" s="19">
        <v>1</v>
      </c>
      <c r="L141" s="37">
        <v>469.04</v>
      </c>
      <c r="M141" s="19" t="s">
        <v>22</v>
      </c>
      <c r="N141" s="19">
        <v>14</v>
      </c>
      <c r="O141" s="20">
        <v>45820</v>
      </c>
      <c r="P141" s="19">
        <v>296</v>
      </c>
      <c r="Q141" s="19" t="s">
        <v>23</v>
      </c>
      <c r="S141" s="20">
        <v>45542</v>
      </c>
      <c r="T141" s="19" t="s">
        <v>24</v>
      </c>
      <c r="U141" s="39">
        <f>Table1[[#This Row],[QUANTITY]]*Table1[[#This Row],[PRICE]]</f>
        <v>469.04</v>
      </c>
    </row>
    <row r="142" spans="1:21">
      <c r="A142" s="19" t="s">
        <v>318</v>
      </c>
      <c r="B142" s="19" t="s">
        <v>26</v>
      </c>
      <c r="C142" s="19" t="s">
        <v>16</v>
      </c>
      <c r="D142" s="19" t="s">
        <v>70</v>
      </c>
      <c r="E142" s="20">
        <v>45528</v>
      </c>
      <c r="F142" s="19" t="s">
        <v>319</v>
      </c>
      <c r="G142" s="20">
        <v>45422</v>
      </c>
      <c r="H142" s="19" t="s">
        <v>19</v>
      </c>
      <c r="I142" s="19" t="s">
        <v>51</v>
      </c>
      <c r="J142" s="19" t="s">
        <v>21</v>
      </c>
      <c r="K142" s="19">
        <v>5</v>
      </c>
      <c r="L142" s="37">
        <v>448.63</v>
      </c>
      <c r="M142" s="19" t="s">
        <v>12</v>
      </c>
      <c r="N142" s="19">
        <v>41</v>
      </c>
      <c r="O142" s="20">
        <v>45658</v>
      </c>
      <c r="P142" s="19">
        <v>464</v>
      </c>
      <c r="Q142" s="19" t="s">
        <v>23</v>
      </c>
      <c r="R142" s="19">
        <v>5</v>
      </c>
      <c r="S142" s="20">
        <v>45545</v>
      </c>
      <c r="T142" s="19" t="s">
        <v>14</v>
      </c>
      <c r="U142" s="39">
        <f>Table1[[#This Row],[QUANTITY]]*Table1[[#This Row],[PRICE]]</f>
        <v>2243.15</v>
      </c>
    </row>
    <row r="143" spans="1:21">
      <c r="A143" s="19" t="s">
        <v>320</v>
      </c>
      <c r="B143" s="19" t="s">
        <v>26</v>
      </c>
      <c r="C143" s="19" t="s">
        <v>6</v>
      </c>
      <c r="D143" s="19" t="s">
        <v>70</v>
      </c>
      <c r="E143" s="20">
        <v>45829</v>
      </c>
      <c r="F143" s="19" t="s">
        <v>321</v>
      </c>
      <c r="G143" s="20">
        <v>45422</v>
      </c>
      <c r="H143" s="19" t="s">
        <v>62</v>
      </c>
      <c r="I143" s="19" t="s">
        <v>20</v>
      </c>
      <c r="J143" s="19" t="s">
        <v>41</v>
      </c>
      <c r="K143" s="19">
        <v>4</v>
      </c>
      <c r="L143" s="37">
        <v>1344.65</v>
      </c>
      <c r="M143" s="19" t="s">
        <v>38</v>
      </c>
      <c r="N143" s="19">
        <v>46</v>
      </c>
      <c r="O143" s="20">
        <v>45685</v>
      </c>
      <c r="P143" s="19">
        <v>307</v>
      </c>
      <c r="Q143" s="19" t="s">
        <v>13</v>
      </c>
      <c r="R143" s="19">
        <v>3</v>
      </c>
      <c r="S143" s="20">
        <v>45851</v>
      </c>
      <c r="T143" s="19" t="s">
        <v>14</v>
      </c>
      <c r="U143" s="39">
        <f>Table1[[#This Row],[QUANTITY]]*Table1[[#This Row],[PRICE]]</f>
        <v>5378.6</v>
      </c>
    </row>
    <row r="144" spans="1:21">
      <c r="A144" s="19" t="s">
        <v>322</v>
      </c>
      <c r="B144" s="19" t="s">
        <v>5</v>
      </c>
      <c r="C144" s="19" t="s">
        <v>16</v>
      </c>
      <c r="D144" s="19" t="s">
        <v>53</v>
      </c>
      <c r="E144" s="20">
        <v>45641</v>
      </c>
      <c r="F144" s="19" t="s">
        <v>323</v>
      </c>
      <c r="G144" s="20">
        <v>45423</v>
      </c>
      <c r="H144" s="19" t="s">
        <v>19</v>
      </c>
      <c r="I144" s="19" t="s">
        <v>37</v>
      </c>
      <c r="J144" s="19" t="s">
        <v>11</v>
      </c>
      <c r="K144" s="19">
        <v>4</v>
      </c>
      <c r="L144" s="37">
        <v>949.8</v>
      </c>
      <c r="M144" s="19" t="s">
        <v>22</v>
      </c>
      <c r="N144" s="19">
        <v>48</v>
      </c>
      <c r="O144" s="20">
        <v>45763</v>
      </c>
      <c r="P144" s="19">
        <v>481</v>
      </c>
      <c r="Q144" s="19" t="s">
        <v>23</v>
      </c>
      <c r="S144" s="20">
        <v>45882</v>
      </c>
      <c r="T144" s="19" t="s">
        <v>24</v>
      </c>
      <c r="U144" s="39">
        <f>Table1[[#This Row],[QUANTITY]]*Table1[[#This Row],[PRICE]]</f>
        <v>3799.2</v>
      </c>
    </row>
    <row r="145" spans="1:21">
      <c r="A145" s="19" t="s">
        <v>324</v>
      </c>
      <c r="B145" s="19" t="s">
        <v>46</v>
      </c>
      <c r="C145" s="19" t="s">
        <v>6</v>
      </c>
      <c r="D145" s="19" t="s">
        <v>17</v>
      </c>
      <c r="E145" s="20">
        <v>45162</v>
      </c>
      <c r="F145" s="19" t="s">
        <v>325</v>
      </c>
      <c r="G145" s="20">
        <v>45423</v>
      </c>
      <c r="H145" s="19" t="s">
        <v>19</v>
      </c>
      <c r="I145" s="19" t="s">
        <v>20</v>
      </c>
      <c r="J145" s="19" t="s">
        <v>21</v>
      </c>
      <c r="K145" s="19">
        <v>3</v>
      </c>
      <c r="L145" s="37">
        <v>225.17</v>
      </c>
      <c r="M145" s="19" t="s">
        <v>38</v>
      </c>
      <c r="N145" s="19">
        <v>22</v>
      </c>
      <c r="O145" s="20">
        <v>45775</v>
      </c>
      <c r="P145" s="19">
        <v>489</v>
      </c>
      <c r="Q145" s="19" t="s">
        <v>23</v>
      </c>
      <c r="R145" s="19">
        <v>3</v>
      </c>
      <c r="S145" s="20">
        <v>45600</v>
      </c>
      <c r="T145" s="19" t="s">
        <v>34</v>
      </c>
      <c r="U145" s="39">
        <f>Table1[[#This Row],[QUANTITY]]*Table1[[#This Row],[PRICE]]</f>
        <v>675.51</v>
      </c>
    </row>
    <row r="146" spans="1:21">
      <c r="A146" s="19" t="s">
        <v>326</v>
      </c>
      <c r="B146" s="19" t="s">
        <v>46</v>
      </c>
      <c r="C146" s="19" t="s">
        <v>27</v>
      </c>
      <c r="D146" s="19" t="s">
        <v>17</v>
      </c>
      <c r="E146" s="20">
        <v>45617</v>
      </c>
      <c r="F146" s="19" t="s">
        <v>327</v>
      </c>
      <c r="G146" s="20">
        <v>45424</v>
      </c>
      <c r="H146" s="19" t="s">
        <v>44</v>
      </c>
      <c r="I146" s="19" t="s">
        <v>51</v>
      </c>
      <c r="J146" s="19" t="s">
        <v>41</v>
      </c>
      <c r="K146" s="19">
        <v>2</v>
      </c>
      <c r="L146" s="37">
        <v>175.48</v>
      </c>
      <c r="M146" s="19" t="s">
        <v>22</v>
      </c>
      <c r="N146" s="19">
        <v>42</v>
      </c>
      <c r="O146" s="20">
        <v>45792</v>
      </c>
      <c r="P146" s="19">
        <v>413</v>
      </c>
      <c r="Q146" s="19" t="s">
        <v>13</v>
      </c>
      <c r="R146" s="19">
        <v>5</v>
      </c>
      <c r="S146" s="20">
        <v>45837</v>
      </c>
      <c r="T146" s="19" t="s">
        <v>14</v>
      </c>
      <c r="U146" s="39">
        <f>Table1[[#This Row],[QUANTITY]]*Table1[[#This Row],[PRICE]]</f>
        <v>350.96</v>
      </c>
    </row>
    <row r="147" spans="1:21">
      <c r="A147" s="19" t="s">
        <v>328</v>
      </c>
      <c r="B147" s="19" t="s">
        <v>46</v>
      </c>
      <c r="C147" s="19" t="s">
        <v>16</v>
      </c>
      <c r="D147" s="19" t="s">
        <v>53</v>
      </c>
      <c r="E147" s="20">
        <v>45860</v>
      </c>
      <c r="F147" s="19" t="s">
        <v>329</v>
      </c>
      <c r="G147" s="20">
        <v>45424</v>
      </c>
      <c r="H147" s="19" t="s">
        <v>62</v>
      </c>
      <c r="I147" s="19" t="s">
        <v>37</v>
      </c>
      <c r="J147" s="19" t="s">
        <v>21</v>
      </c>
      <c r="K147" s="19">
        <v>4</v>
      </c>
      <c r="L147" s="37">
        <v>436.53</v>
      </c>
      <c r="M147" s="19" t="s">
        <v>12</v>
      </c>
      <c r="N147" s="19">
        <v>40</v>
      </c>
      <c r="O147" s="20">
        <v>45858</v>
      </c>
      <c r="P147" s="19">
        <v>135</v>
      </c>
      <c r="Q147" s="19" t="s">
        <v>13</v>
      </c>
      <c r="R147" s="19">
        <v>5</v>
      </c>
      <c r="S147" s="20">
        <v>45633</v>
      </c>
      <c r="T147" s="19" t="s">
        <v>14</v>
      </c>
      <c r="U147" s="39">
        <f>Table1[[#This Row],[QUANTITY]]*Table1[[#This Row],[PRICE]]</f>
        <v>1746.12</v>
      </c>
    </row>
    <row r="148" spans="1:21">
      <c r="A148" s="19" t="s">
        <v>330</v>
      </c>
      <c r="B148" s="19" t="s">
        <v>5</v>
      </c>
      <c r="C148" s="19" t="s">
        <v>27</v>
      </c>
      <c r="D148" s="19" t="s">
        <v>53</v>
      </c>
      <c r="E148" s="20">
        <v>45434</v>
      </c>
      <c r="F148" s="19" t="s">
        <v>331</v>
      </c>
      <c r="G148" s="20">
        <v>45424</v>
      </c>
      <c r="H148" s="19" t="s">
        <v>62</v>
      </c>
      <c r="I148" s="19" t="s">
        <v>20</v>
      </c>
      <c r="J148" s="19" t="s">
        <v>33</v>
      </c>
      <c r="K148" s="19">
        <v>1</v>
      </c>
      <c r="L148" s="37">
        <v>913.2</v>
      </c>
      <c r="M148" s="19" t="s">
        <v>22</v>
      </c>
      <c r="N148" s="19">
        <v>19</v>
      </c>
      <c r="O148" s="20">
        <v>45767</v>
      </c>
      <c r="P148" s="19">
        <v>161</v>
      </c>
      <c r="Q148" s="19" t="s">
        <v>23</v>
      </c>
      <c r="R148" s="19">
        <v>3</v>
      </c>
      <c r="S148" s="20">
        <v>45851</v>
      </c>
      <c r="T148" s="19" t="s">
        <v>34</v>
      </c>
      <c r="U148" s="39">
        <f>Table1[[#This Row],[QUANTITY]]*Table1[[#This Row],[PRICE]]</f>
        <v>913.2</v>
      </c>
    </row>
    <row r="149" spans="1:21">
      <c r="A149" s="19" t="s">
        <v>332</v>
      </c>
      <c r="B149" s="19" t="s">
        <v>5</v>
      </c>
      <c r="C149" s="19" t="s">
        <v>6</v>
      </c>
      <c r="D149" s="19" t="s">
        <v>17</v>
      </c>
      <c r="E149" s="20">
        <v>45351</v>
      </c>
      <c r="F149" s="19" t="s">
        <v>333</v>
      </c>
      <c r="G149" s="20">
        <v>45424</v>
      </c>
      <c r="H149" s="19" t="s">
        <v>19</v>
      </c>
      <c r="I149" s="19" t="s">
        <v>20</v>
      </c>
      <c r="J149" s="19" t="s">
        <v>41</v>
      </c>
      <c r="K149" s="19">
        <v>3</v>
      </c>
      <c r="L149" s="37">
        <v>1222.55</v>
      </c>
      <c r="M149" s="19" t="s">
        <v>22</v>
      </c>
      <c r="N149" s="19">
        <v>49</v>
      </c>
      <c r="O149" s="20">
        <v>45675</v>
      </c>
      <c r="P149" s="19">
        <v>442</v>
      </c>
      <c r="Q149" s="19" t="s">
        <v>23</v>
      </c>
      <c r="R149" s="19">
        <v>2</v>
      </c>
      <c r="S149" s="20">
        <v>45813</v>
      </c>
      <c r="T149" s="19" t="s">
        <v>14</v>
      </c>
      <c r="U149" s="39">
        <f>Table1[[#This Row],[QUANTITY]]*Table1[[#This Row],[PRICE]]</f>
        <v>3667.6499999999996</v>
      </c>
    </row>
    <row r="150" spans="1:21">
      <c r="A150" s="19" t="s">
        <v>334</v>
      </c>
      <c r="B150" s="19" t="s">
        <v>46</v>
      </c>
      <c r="C150" s="19" t="s">
        <v>27</v>
      </c>
      <c r="D150" s="19" t="s">
        <v>53</v>
      </c>
      <c r="E150" s="20">
        <v>45378</v>
      </c>
      <c r="F150" s="19" t="s">
        <v>335</v>
      </c>
      <c r="G150" s="20">
        <v>45424</v>
      </c>
      <c r="H150" s="19" t="s">
        <v>44</v>
      </c>
      <c r="I150" s="19" t="s">
        <v>51</v>
      </c>
      <c r="J150" s="19" t="s">
        <v>41</v>
      </c>
      <c r="K150" s="19">
        <v>4</v>
      </c>
      <c r="L150" s="37">
        <v>596.96</v>
      </c>
      <c r="M150" s="19" t="s">
        <v>22</v>
      </c>
      <c r="N150" s="19">
        <v>13</v>
      </c>
      <c r="O150" s="20">
        <v>45665</v>
      </c>
      <c r="P150" s="19">
        <v>235</v>
      </c>
      <c r="Q150" s="19" t="s">
        <v>23</v>
      </c>
      <c r="S150" s="20">
        <v>45774</v>
      </c>
      <c r="T150" s="19" t="s">
        <v>24</v>
      </c>
      <c r="U150" s="39">
        <f>Table1[[#This Row],[QUANTITY]]*Table1[[#This Row],[PRICE]]</f>
        <v>2387.84</v>
      </c>
    </row>
    <row r="151" spans="1:21">
      <c r="A151" s="19" t="s">
        <v>336</v>
      </c>
      <c r="B151" s="19" t="s">
        <v>26</v>
      </c>
      <c r="C151" s="19" t="s">
        <v>27</v>
      </c>
      <c r="D151" s="19" t="s">
        <v>7</v>
      </c>
      <c r="E151" s="20">
        <v>45352</v>
      </c>
      <c r="F151" s="19" t="s">
        <v>337</v>
      </c>
      <c r="G151" s="20">
        <v>45424</v>
      </c>
      <c r="H151" s="19" t="s">
        <v>19</v>
      </c>
      <c r="I151" s="19" t="s">
        <v>20</v>
      </c>
      <c r="J151" s="19" t="s">
        <v>21</v>
      </c>
      <c r="K151" s="19">
        <v>3</v>
      </c>
      <c r="L151" s="37">
        <v>624.42999999999995</v>
      </c>
      <c r="M151" s="19" t="s">
        <v>22</v>
      </c>
      <c r="N151" s="19">
        <v>46</v>
      </c>
      <c r="O151" s="20">
        <v>45749</v>
      </c>
      <c r="P151" s="19">
        <v>47</v>
      </c>
      <c r="Q151" s="19" t="s">
        <v>13</v>
      </c>
      <c r="R151" s="19">
        <v>2</v>
      </c>
      <c r="S151" s="20">
        <v>45690</v>
      </c>
      <c r="T151" s="19" t="s">
        <v>14</v>
      </c>
      <c r="U151" s="39">
        <f>Table1[[#This Row],[QUANTITY]]*Table1[[#This Row],[PRICE]]</f>
        <v>1873.29</v>
      </c>
    </row>
    <row r="152" spans="1:21">
      <c r="A152" s="19" t="s">
        <v>338</v>
      </c>
      <c r="B152" s="19" t="s">
        <v>46</v>
      </c>
      <c r="C152" s="19" t="s">
        <v>16</v>
      </c>
      <c r="D152" s="19" t="s">
        <v>53</v>
      </c>
      <c r="E152" s="20">
        <v>45559</v>
      </c>
      <c r="F152" s="19" t="s">
        <v>339</v>
      </c>
      <c r="G152" s="20">
        <v>45424</v>
      </c>
      <c r="H152" s="19" t="s">
        <v>44</v>
      </c>
      <c r="I152" s="19" t="s">
        <v>55</v>
      </c>
      <c r="J152" s="19" t="s">
        <v>41</v>
      </c>
      <c r="K152" s="19">
        <v>2</v>
      </c>
      <c r="L152" s="37">
        <v>508.24</v>
      </c>
      <c r="M152" s="19" t="s">
        <v>12</v>
      </c>
      <c r="N152" s="19">
        <v>10</v>
      </c>
      <c r="O152" s="20">
        <v>45532</v>
      </c>
      <c r="P152" s="19">
        <v>148</v>
      </c>
      <c r="Q152" s="19" t="s">
        <v>23</v>
      </c>
      <c r="R152" s="19">
        <v>4</v>
      </c>
      <c r="S152" s="20">
        <v>45718</v>
      </c>
      <c r="T152" s="19" t="s">
        <v>14</v>
      </c>
      <c r="U152" s="39">
        <f>Table1[[#This Row],[QUANTITY]]*Table1[[#This Row],[PRICE]]</f>
        <v>1016.48</v>
      </c>
    </row>
    <row r="153" spans="1:21">
      <c r="A153" s="19" t="s">
        <v>340</v>
      </c>
      <c r="B153" s="19" t="s">
        <v>5</v>
      </c>
      <c r="C153" s="19" t="s">
        <v>6</v>
      </c>
      <c r="D153" s="19" t="s">
        <v>17</v>
      </c>
      <c r="E153" s="20">
        <v>45525</v>
      </c>
      <c r="F153" s="19" t="s">
        <v>341</v>
      </c>
      <c r="G153" s="20">
        <v>45424</v>
      </c>
      <c r="H153" s="19" t="s">
        <v>19</v>
      </c>
      <c r="I153" s="19" t="s">
        <v>10</v>
      </c>
      <c r="J153" s="19" t="s">
        <v>33</v>
      </c>
      <c r="K153" s="19">
        <v>1</v>
      </c>
      <c r="L153" s="37">
        <v>1396.82</v>
      </c>
      <c r="M153" s="19" t="s">
        <v>38</v>
      </c>
      <c r="N153" s="19">
        <v>27</v>
      </c>
      <c r="O153" s="20">
        <v>45819</v>
      </c>
      <c r="P153" s="19">
        <v>188</v>
      </c>
      <c r="Q153" s="19" t="s">
        <v>13</v>
      </c>
      <c r="R153" s="19">
        <v>2</v>
      </c>
      <c r="S153" s="20">
        <v>45625</v>
      </c>
      <c r="T153" s="19" t="s">
        <v>14</v>
      </c>
      <c r="U153" s="39">
        <f>Table1[[#This Row],[QUANTITY]]*Table1[[#This Row],[PRICE]]</f>
        <v>1396.82</v>
      </c>
    </row>
    <row r="154" spans="1:21">
      <c r="A154" s="19" t="s">
        <v>342</v>
      </c>
      <c r="B154" s="19" t="s">
        <v>46</v>
      </c>
      <c r="C154" s="19" t="s">
        <v>27</v>
      </c>
      <c r="D154" s="19" t="s">
        <v>17</v>
      </c>
      <c r="E154" s="20">
        <v>45399</v>
      </c>
      <c r="F154" s="19" t="s">
        <v>343</v>
      </c>
      <c r="G154" s="20">
        <v>45424</v>
      </c>
      <c r="H154" s="19" t="s">
        <v>19</v>
      </c>
      <c r="I154" s="19" t="s">
        <v>10</v>
      </c>
      <c r="J154" s="19" t="s">
        <v>48</v>
      </c>
      <c r="K154" s="19">
        <v>4</v>
      </c>
      <c r="L154" s="37">
        <v>891.58</v>
      </c>
      <c r="M154" s="19" t="s">
        <v>12</v>
      </c>
      <c r="N154" s="19">
        <v>41</v>
      </c>
      <c r="O154" s="20">
        <v>45638</v>
      </c>
      <c r="P154" s="19">
        <v>372</v>
      </c>
      <c r="Q154" s="19" t="s">
        <v>23</v>
      </c>
      <c r="R154" s="19">
        <v>5</v>
      </c>
      <c r="S154" s="20">
        <v>45687</v>
      </c>
      <c r="T154" s="19" t="s">
        <v>14</v>
      </c>
      <c r="U154" s="39">
        <f>Table1[[#This Row],[QUANTITY]]*Table1[[#This Row],[PRICE]]</f>
        <v>3566.32</v>
      </c>
    </row>
    <row r="155" spans="1:21">
      <c r="A155" s="19" t="s">
        <v>344</v>
      </c>
      <c r="B155" s="19" t="s">
        <v>46</v>
      </c>
      <c r="C155" s="19" t="s">
        <v>27</v>
      </c>
      <c r="D155" s="19" t="s">
        <v>31</v>
      </c>
      <c r="E155" s="20">
        <v>45310</v>
      </c>
      <c r="F155" s="19" t="s">
        <v>345</v>
      </c>
      <c r="G155" s="20">
        <v>45425</v>
      </c>
      <c r="H155" s="19" t="s">
        <v>62</v>
      </c>
      <c r="I155" s="19" t="s">
        <v>37</v>
      </c>
      <c r="J155" s="19" t="s">
        <v>41</v>
      </c>
      <c r="K155" s="19">
        <v>5</v>
      </c>
      <c r="L155" s="37">
        <v>1142.42</v>
      </c>
      <c r="M155" s="19" t="s">
        <v>38</v>
      </c>
      <c r="N155" s="19">
        <v>36</v>
      </c>
      <c r="O155" s="20">
        <v>45807</v>
      </c>
      <c r="P155" s="19">
        <v>272</v>
      </c>
      <c r="Q155" s="19" t="s">
        <v>23</v>
      </c>
      <c r="R155" s="19">
        <v>1</v>
      </c>
      <c r="S155" s="20">
        <v>45663</v>
      </c>
      <c r="T155" s="19" t="s">
        <v>34</v>
      </c>
      <c r="U155" s="39">
        <f>Table1[[#This Row],[QUANTITY]]*Table1[[#This Row],[PRICE]]</f>
        <v>5712.1</v>
      </c>
    </row>
    <row r="156" spans="1:21">
      <c r="A156" s="19" t="s">
        <v>346</v>
      </c>
      <c r="B156" s="19" t="s">
        <v>5</v>
      </c>
      <c r="C156" s="19" t="s">
        <v>27</v>
      </c>
      <c r="D156" s="19" t="s">
        <v>31</v>
      </c>
      <c r="E156" s="20">
        <v>45551</v>
      </c>
      <c r="F156" s="19" t="s">
        <v>347</v>
      </c>
      <c r="G156" s="20">
        <v>45425</v>
      </c>
      <c r="H156" s="19" t="s">
        <v>44</v>
      </c>
      <c r="I156" s="19" t="s">
        <v>20</v>
      </c>
      <c r="J156" s="19" t="s">
        <v>41</v>
      </c>
      <c r="K156" s="19">
        <v>2</v>
      </c>
      <c r="L156" s="37">
        <v>1071.07</v>
      </c>
      <c r="M156" s="19" t="s">
        <v>22</v>
      </c>
      <c r="N156" s="19">
        <v>41</v>
      </c>
      <c r="O156" s="20">
        <v>45810</v>
      </c>
      <c r="P156" s="19">
        <v>498</v>
      </c>
      <c r="Q156" s="19" t="s">
        <v>13</v>
      </c>
      <c r="S156" s="20">
        <v>45528</v>
      </c>
      <c r="T156" s="19" t="s">
        <v>24</v>
      </c>
      <c r="U156" s="39">
        <f>Table1[[#This Row],[QUANTITY]]*Table1[[#This Row],[PRICE]]</f>
        <v>2142.14</v>
      </c>
    </row>
    <row r="157" spans="1:21">
      <c r="A157" s="19" t="s">
        <v>348</v>
      </c>
      <c r="B157" s="19" t="s">
        <v>26</v>
      </c>
      <c r="C157" s="19" t="s">
        <v>27</v>
      </c>
      <c r="D157" s="19" t="s">
        <v>70</v>
      </c>
      <c r="E157" s="20">
        <v>45553</v>
      </c>
      <c r="F157" s="19" t="s">
        <v>349</v>
      </c>
      <c r="G157" s="20">
        <v>45425</v>
      </c>
      <c r="H157" s="19" t="s">
        <v>62</v>
      </c>
      <c r="I157" s="19" t="s">
        <v>37</v>
      </c>
      <c r="J157" s="19" t="s">
        <v>48</v>
      </c>
      <c r="K157" s="19">
        <v>4</v>
      </c>
      <c r="L157" s="37">
        <v>1449.32</v>
      </c>
      <c r="M157" s="19" t="s">
        <v>22</v>
      </c>
      <c r="N157" s="19">
        <v>45</v>
      </c>
      <c r="O157" s="20">
        <v>45611</v>
      </c>
      <c r="P157" s="19">
        <v>326</v>
      </c>
      <c r="Q157" s="19" t="s">
        <v>23</v>
      </c>
      <c r="R157" s="19">
        <v>5</v>
      </c>
      <c r="S157" s="20">
        <v>45666</v>
      </c>
      <c r="T157" s="19" t="s">
        <v>14</v>
      </c>
      <c r="U157" s="39">
        <f>Table1[[#This Row],[QUANTITY]]*Table1[[#This Row],[PRICE]]</f>
        <v>5797.28</v>
      </c>
    </row>
    <row r="158" spans="1:21">
      <c r="A158" s="19" t="s">
        <v>350</v>
      </c>
      <c r="B158" s="19" t="s">
        <v>46</v>
      </c>
      <c r="C158" s="19" t="s">
        <v>27</v>
      </c>
      <c r="D158" s="19" t="s">
        <v>70</v>
      </c>
      <c r="E158" s="20">
        <v>45808</v>
      </c>
      <c r="F158" s="19" t="s">
        <v>351</v>
      </c>
      <c r="G158" s="20">
        <v>45425</v>
      </c>
      <c r="H158" s="19" t="s">
        <v>9</v>
      </c>
      <c r="I158" s="19" t="s">
        <v>55</v>
      </c>
      <c r="J158" s="19" t="s">
        <v>11</v>
      </c>
      <c r="K158" s="19">
        <v>5</v>
      </c>
      <c r="L158" s="37">
        <v>810.36</v>
      </c>
      <c r="M158" s="19" t="s">
        <v>12</v>
      </c>
      <c r="N158" s="19">
        <v>4</v>
      </c>
      <c r="O158" s="20">
        <v>45537</v>
      </c>
      <c r="P158" s="19">
        <v>26</v>
      </c>
      <c r="Q158" s="19" t="s">
        <v>23</v>
      </c>
      <c r="R158" s="19">
        <v>5</v>
      </c>
      <c r="S158" s="20">
        <v>45788</v>
      </c>
      <c r="T158" s="19" t="s">
        <v>14</v>
      </c>
      <c r="U158" s="39">
        <f>Table1[[#This Row],[QUANTITY]]*Table1[[#This Row],[PRICE]]</f>
        <v>4051.8</v>
      </c>
    </row>
    <row r="159" spans="1:21">
      <c r="A159" s="19" t="s">
        <v>352</v>
      </c>
      <c r="B159" s="19" t="s">
        <v>5</v>
      </c>
      <c r="C159" s="19" t="s">
        <v>6</v>
      </c>
      <c r="D159" s="19" t="s">
        <v>53</v>
      </c>
      <c r="E159" s="20">
        <v>45166</v>
      </c>
      <c r="F159" s="19" t="s">
        <v>353</v>
      </c>
      <c r="G159" s="20">
        <v>45425</v>
      </c>
      <c r="H159" s="19" t="s">
        <v>44</v>
      </c>
      <c r="I159" s="19" t="s">
        <v>55</v>
      </c>
      <c r="J159" s="19" t="s">
        <v>41</v>
      </c>
      <c r="K159" s="19">
        <v>1</v>
      </c>
      <c r="L159" s="37">
        <v>872.74</v>
      </c>
      <c r="M159" s="19" t="s">
        <v>22</v>
      </c>
      <c r="N159" s="19">
        <v>15</v>
      </c>
      <c r="O159" s="20">
        <v>45562</v>
      </c>
      <c r="P159" s="19">
        <v>224</v>
      </c>
      <c r="Q159" s="19" t="s">
        <v>23</v>
      </c>
      <c r="R159" s="19">
        <v>5</v>
      </c>
      <c r="S159" s="20">
        <v>45539</v>
      </c>
      <c r="T159" s="19" t="s">
        <v>34</v>
      </c>
      <c r="U159" s="39">
        <f>Table1[[#This Row],[QUANTITY]]*Table1[[#This Row],[PRICE]]</f>
        <v>872.74</v>
      </c>
    </row>
    <row r="160" spans="1:21">
      <c r="A160" s="19" t="s">
        <v>354</v>
      </c>
      <c r="B160" s="19" t="s">
        <v>46</v>
      </c>
      <c r="C160" s="19" t="s">
        <v>6</v>
      </c>
      <c r="D160" s="19" t="s">
        <v>53</v>
      </c>
      <c r="E160" s="20">
        <v>45864</v>
      </c>
      <c r="F160" s="19" t="s">
        <v>355</v>
      </c>
      <c r="G160" s="20">
        <v>45425</v>
      </c>
      <c r="H160" s="19" t="s">
        <v>44</v>
      </c>
      <c r="I160" s="19" t="s">
        <v>20</v>
      </c>
      <c r="J160" s="19" t="s">
        <v>21</v>
      </c>
      <c r="K160" s="19">
        <v>1</v>
      </c>
      <c r="L160" s="37">
        <v>248.51</v>
      </c>
      <c r="M160" s="19" t="s">
        <v>38</v>
      </c>
      <c r="N160" s="19">
        <v>45</v>
      </c>
      <c r="O160" s="20">
        <v>45870</v>
      </c>
      <c r="P160" s="19">
        <v>259</v>
      </c>
      <c r="Q160" s="19" t="s">
        <v>23</v>
      </c>
      <c r="S160" s="20">
        <v>45811</v>
      </c>
      <c r="T160" s="19" t="s">
        <v>24</v>
      </c>
      <c r="U160" s="39">
        <f>Table1[[#This Row],[QUANTITY]]*Table1[[#This Row],[PRICE]]</f>
        <v>248.51</v>
      </c>
    </row>
    <row r="161" spans="1:21">
      <c r="A161" s="19" t="s">
        <v>356</v>
      </c>
      <c r="B161" s="19" t="s">
        <v>5</v>
      </c>
      <c r="C161" s="19" t="s">
        <v>27</v>
      </c>
      <c r="D161" s="19" t="s">
        <v>31</v>
      </c>
      <c r="E161" s="20">
        <v>45530</v>
      </c>
      <c r="F161" s="19" t="s">
        <v>357</v>
      </c>
      <c r="G161" s="20">
        <v>45425</v>
      </c>
      <c r="H161" s="19" t="s">
        <v>9</v>
      </c>
      <c r="I161" s="19" t="s">
        <v>55</v>
      </c>
      <c r="J161" s="19" t="s">
        <v>33</v>
      </c>
      <c r="K161" s="19">
        <v>1</v>
      </c>
      <c r="L161" s="37">
        <v>622.02</v>
      </c>
      <c r="M161" s="19" t="s">
        <v>12</v>
      </c>
      <c r="N161" s="19">
        <v>24</v>
      </c>
      <c r="O161" s="20">
        <v>45559</v>
      </c>
      <c r="P161" s="19">
        <v>164</v>
      </c>
      <c r="Q161" s="19" t="s">
        <v>23</v>
      </c>
      <c r="S161" s="20">
        <v>45681</v>
      </c>
      <c r="T161" s="19" t="s">
        <v>24</v>
      </c>
      <c r="U161" s="39">
        <f>Table1[[#This Row],[QUANTITY]]*Table1[[#This Row],[PRICE]]</f>
        <v>622.02</v>
      </c>
    </row>
    <row r="162" spans="1:21">
      <c r="A162" s="19" t="s">
        <v>358</v>
      </c>
      <c r="B162" s="19" t="s">
        <v>46</v>
      </c>
      <c r="C162" s="19" t="s">
        <v>27</v>
      </c>
      <c r="D162" s="19" t="s">
        <v>7</v>
      </c>
      <c r="E162" s="20">
        <v>45865</v>
      </c>
      <c r="F162" s="19" t="s">
        <v>359</v>
      </c>
      <c r="G162" s="20">
        <v>45425</v>
      </c>
      <c r="H162" s="19" t="s">
        <v>29</v>
      </c>
      <c r="I162" s="19" t="s">
        <v>10</v>
      </c>
      <c r="J162" s="19" t="s">
        <v>21</v>
      </c>
      <c r="K162" s="19">
        <v>3</v>
      </c>
      <c r="L162" s="37">
        <v>206.84</v>
      </c>
      <c r="M162" s="19" t="s">
        <v>22</v>
      </c>
      <c r="N162" s="19">
        <v>3</v>
      </c>
      <c r="O162" s="20">
        <v>45541</v>
      </c>
      <c r="P162" s="19">
        <v>141</v>
      </c>
      <c r="Q162" s="19" t="s">
        <v>13</v>
      </c>
      <c r="R162" s="19">
        <v>1</v>
      </c>
      <c r="S162" s="20">
        <v>45656</v>
      </c>
      <c r="T162" s="19" t="s">
        <v>14</v>
      </c>
      <c r="U162" s="39">
        <f>Table1[[#This Row],[QUANTITY]]*Table1[[#This Row],[PRICE]]</f>
        <v>620.52</v>
      </c>
    </row>
    <row r="163" spans="1:21">
      <c r="A163" s="19" t="s">
        <v>360</v>
      </c>
      <c r="B163" s="19" t="s">
        <v>46</v>
      </c>
      <c r="C163" s="19" t="s">
        <v>27</v>
      </c>
      <c r="D163" s="19" t="s">
        <v>17</v>
      </c>
      <c r="E163" s="20">
        <v>45244</v>
      </c>
      <c r="F163" s="19" t="s">
        <v>361</v>
      </c>
      <c r="G163" s="20">
        <v>45425</v>
      </c>
      <c r="H163" s="19" t="s">
        <v>44</v>
      </c>
      <c r="I163" s="19" t="s">
        <v>37</v>
      </c>
      <c r="J163" s="19" t="s">
        <v>21</v>
      </c>
      <c r="K163" s="19">
        <v>2</v>
      </c>
      <c r="L163" s="37">
        <v>1433.02</v>
      </c>
      <c r="M163" s="19" t="s">
        <v>38</v>
      </c>
      <c r="N163" s="19">
        <v>33</v>
      </c>
      <c r="O163" s="20">
        <v>45537</v>
      </c>
      <c r="P163" s="19">
        <v>469</v>
      </c>
      <c r="Q163" s="19" t="s">
        <v>23</v>
      </c>
      <c r="R163" s="19">
        <v>4</v>
      </c>
      <c r="S163" s="20">
        <v>45549</v>
      </c>
      <c r="T163" s="19" t="s">
        <v>34</v>
      </c>
      <c r="U163" s="39">
        <f>Table1[[#This Row],[QUANTITY]]*Table1[[#This Row],[PRICE]]</f>
        <v>2866.04</v>
      </c>
    </row>
    <row r="164" spans="1:21">
      <c r="A164" s="19" t="s">
        <v>362</v>
      </c>
      <c r="B164" s="19" t="s">
        <v>5</v>
      </c>
      <c r="C164" s="19" t="s">
        <v>6</v>
      </c>
      <c r="D164" s="19" t="s">
        <v>53</v>
      </c>
      <c r="E164" s="20">
        <v>45553</v>
      </c>
      <c r="F164" s="19" t="s">
        <v>363</v>
      </c>
      <c r="G164" s="20">
        <v>45426</v>
      </c>
      <c r="H164" s="19" t="s">
        <v>29</v>
      </c>
      <c r="I164" s="19" t="s">
        <v>37</v>
      </c>
      <c r="J164" s="19" t="s">
        <v>33</v>
      </c>
      <c r="K164" s="19">
        <v>4</v>
      </c>
      <c r="L164" s="37">
        <v>1229.6199999999999</v>
      </c>
      <c r="M164" s="19" t="s">
        <v>12</v>
      </c>
      <c r="N164" s="19">
        <v>23</v>
      </c>
      <c r="O164" s="20">
        <v>45652</v>
      </c>
      <c r="P164" s="19">
        <v>495</v>
      </c>
      <c r="Q164" s="19" t="s">
        <v>23</v>
      </c>
      <c r="R164" s="19">
        <v>4</v>
      </c>
      <c r="S164" s="20">
        <v>45563</v>
      </c>
      <c r="T164" s="19" t="s">
        <v>14</v>
      </c>
      <c r="U164" s="39">
        <f>Table1[[#This Row],[QUANTITY]]*Table1[[#This Row],[PRICE]]</f>
        <v>4918.4799999999996</v>
      </c>
    </row>
    <row r="165" spans="1:21">
      <c r="A165" s="19" t="s">
        <v>364</v>
      </c>
      <c r="B165" s="19" t="s">
        <v>46</v>
      </c>
      <c r="C165" s="19" t="s">
        <v>6</v>
      </c>
      <c r="D165" s="19" t="s">
        <v>53</v>
      </c>
      <c r="E165" s="20">
        <v>45496</v>
      </c>
      <c r="F165" s="19" t="s">
        <v>365</v>
      </c>
      <c r="G165" s="20">
        <v>45426</v>
      </c>
      <c r="H165" s="19" t="s">
        <v>19</v>
      </c>
      <c r="I165" s="19" t="s">
        <v>37</v>
      </c>
      <c r="J165" s="19" t="s">
        <v>11</v>
      </c>
      <c r="K165" s="19">
        <v>1</v>
      </c>
      <c r="L165" s="37">
        <v>156.71</v>
      </c>
      <c r="M165" s="19" t="s">
        <v>12</v>
      </c>
      <c r="N165" s="19">
        <v>29</v>
      </c>
      <c r="O165" s="20">
        <v>45858</v>
      </c>
      <c r="P165" s="19">
        <v>486</v>
      </c>
      <c r="Q165" s="19" t="s">
        <v>23</v>
      </c>
      <c r="R165" s="19">
        <v>3</v>
      </c>
      <c r="S165" s="20">
        <v>45865</v>
      </c>
      <c r="T165" s="19" t="s">
        <v>14</v>
      </c>
      <c r="U165" s="39">
        <f>Table1[[#This Row],[QUANTITY]]*Table1[[#This Row],[PRICE]]</f>
        <v>156.71</v>
      </c>
    </row>
    <row r="166" spans="1:21">
      <c r="A166" s="19" t="s">
        <v>366</v>
      </c>
      <c r="B166" s="19" t="s">
        <v>26</v>
      </c>
      <c r="C166" s="19" t="s">
        <v>27</v>
      </c>
      <c r="D166" s="19" t="s">
        <v>53</v>
      </c>
      <c r="E166" s="20">
        <v>45543</v>
      </c>
      <c r="F166" s="19" t="s">
        <v>367</v>
      </c>
      <c r="G166" s="20">
        <v>45426</v>
      </c>
      <c r="H166" s="19" t="s">
        <v>29</v>
      </c>
      <c r="I166" s="19" t="s">
        <v>20</v>
      </c>
      <c r="J166" s="19" t="s">
        <v>33</v>
      </c>
      <c r="K166" s="19">
        <v>1</v>
      </c>
      <c r="L166" s="37">
        <v>852.45</v>
      </c>
      <c r="M166" s="19" t="s">
        <v>22</v>
      </c>
      <c r="N166" s="19">
        <v>17</v>
      </c>
      <c r="O166" s="20">
        <v>45549</v>
      </c>
      <c r="P166" s="19">
        <v>184</v>
      </c>
      <c r="Q166" s="19" t="s">
        <v>13</v>
      </c>
      <c r="R166" s="19">
        <v>5</v>
      </c>
      <c r="S166" s="20">
        <v>45842</v>
      </c>
      <c r="T166" s="19" t="s">
        <v>14</v>
      </c>
      <c r="U166" s="39">
        <f>Table1[[#This Row],[QUANTITY]]*Table1[[#This Row],[PRICE]]</f>
        <v>852.45</v>
      </c>
    </row>
    <row r="167" spans="1:21">
      <c r="A167" s="19" t="s">
        <v>368</v>
      </c>
      <c r="B167" s="19" t="s">
        <v>5</v>
      </c>
      <c r="C167" s="19" t="s">
        <v>6</v>
      </c>
      <c r="D167" s="19" t="s">
        <v>31</v>
      </c>
      <c r="E167" s="20">
        <v>45509</v>
      </c>
      <c r="F167" s="19" t="s">
        <v>369</v>
      </c>
      <c r="G167" s="20">
        <v>45426</v>
      </c>
      <c r="H167" s="19" t="s">
        <v>9</v>
      </c>
      <c r="I167" s="19" t="s">
        <v>10</v>
      </c>
      <c r="J167" s="19" t="s">
        <v>33</v>
      </c>
      <c r="K167" s="19">
        <v>5</v>
      </c>
      <c r="L167" s="37">
        <v>1273.03</v>
      </c>
      <c r="M167" s="19" t="s">
        <v>12</v>
      </c>
      <c r="N167" s="19">
        <v>17</v>
      </c>
      <c r="O167" s="20">
        <v>45796</v>
      </c>
      <c r="P167" s="19">
        <v>309</v>
      </c>
      <c r="Q167" s="19" t="s">
        <v>23</v>
      </c>
      <c r="R167" s="19">
        <v>2</v>
      </c>
      <c r="S167" s="20">
        <v>45843</v>
      </c>
      <c r="T167" s="19" t="s">
        <v>14</v>
      </c>
      <c r="U167" s="39">
        <f>Table1[[#This Row],[QUANTITY]]*Table1[[#This Row],[PRICE]]</f>
        <v>6365.15</v>
      </c>
    </row>
    <row r="168" spans="1:21">
      <c r="A168" s="19" t="s">
        <v>370</v>
      </c>
      <c r="B168" s="19" t="s">
        <v>26</v>
      </c>
      <c r="C168" s="19" t="s">
        <v>16</v>
      </c>
      <c r="D168" s="19" t="s">
        <v>17</v>
      </c>
      <c r="E168" s="20">
        <v>45432</v>
      </c>
      <c r="F168" s="19" t="s">
        <v>371</v>
      </c>
      <c r="G168" s="20">
        <v>45426</v>
      </c>
      <c r="H168" s="19" t="s">
        <v>19</v>
      </c>
      <c r="I168" s="19" t="s">
        <v>51</v>
      </c>
      <c r="J168" s="19" t="s">
        <v>41</v>
      </c>
      <c r="K168" s="19">
        <v>2</v>
      </c>
      <c r="L168" s="37">
        <v>1392.19</v>
      </c>
      <c r="M168" s="19" t="s">
        <v>12</v>
      </c>
      <c r="N168" s="19">
        <v>31</v>
      </c>
      <c r="O168" s="20">
        <v>45671</v>
      </c>
      <c r="P168" s="19">
        <v>192</v>
      </c>
      <c r="Q168" s="19" t="s">
        <v>23</v>
      </c>
      <c r="R168" s="19">
        <v>2</v>
      </c>
      <c r="S168" s="20">
        <v>45620</v>
      </c>
      <c r="T168" s="19" t="s">
        <v>14</v>
      </c>
      <c r="U168" s="39">
        <f>Table1[[#This Row],[QUANTITY]]*Table1[[#This Row],[PRICE]]</f>
        <v>2784.38</v>
      </c>
    </row>
    <row r="169" spans="1:21">
      <c r="A169" s="19" t="s">
        <v>372</v>
      </c>
      <c r="B169" s="19" t="s">
        <v>5</v>
      </c>
      <c r="C169" s="19" t="s">
        <v>27</v>
      </c>
      <c r="D169" s="19" t="s">
        <v>17</v>
      </c>
      <c r="E169" s="20">
        <v>45459</v>
      </c>
      <c r="F169" s="19" t="s">
        <v>373</v>
      </c>
      <c r="G169" s="20">
        <v>45426</v>
      </c>
      <c r="H169" s="19" t="s">
        <v>9</v>
      </c>
      <c r="I169" s="19" t="s">
        <v>55</v>
      </c>
      <c r="J169" s="19" t="s">
        <v>48</v>
      </c>
      <c r="K169" s="19">
        <v>2</v>
      </c>
      <c r="L169" s="37">
        <v>929.17</v>
      </c>
      <c r="M169" s="19" t="s">
        <v>12</v>
      </c>
      <c r="N169" s="19">
        <v>24</v>
      </c>
      <c r="O169" s="20">
        <v>45852</v>
      </c>
      <c r="P169" s="19">
        <v>309</v>
      </c>
      <c r="Q169" s="19" t="s">
        <v>23</v>
      </c>
      <c r="R169" s="19">
        <v>3</v>
      </c>
      <c r="S169" s="20">
        <v>45832</v>
      </c>
      <c r="T169" s="19" t="s">
        <v>34</v>
      </c>
      <c r="U169" s="39">
        <f>Table1[[#This Row],[QUANTITY]]*Table1[[#This Row],[PRICE]]</f>
        <v>1858.34</v>
      </c>
    </row>
    <row r="170" spans="1:21">
      <c r="A170" s="19" t="s">
        <v>374</v>
      </c>
      <c r="B170" s="19" t="s">
        <v>46</v>
      </c>
      <c r="C170" s="19" t="s">
        <v>16</v>
      </c>
      <c r="D170" s="19" t="s">
        <v>17</v>
      </c>
      <c r="E170" s="20">
        <v>45710</v>
      </c>
      <c r="F170" s="19" t="s">
        <v>375</v>
      </c>
      <c r="G170" s="20">
        <v>45426</v>
      </c>
      <c r="H170" s="19" t="s">
        <v>62</v>
      </c>
      <c r="I170" s="19" t="s">
        <v>20</v>
      </c>
      <c r="J170" s="19" t="s">
        <v>48</v>
      </c>
      <c r="K170" s="19">
        <v>4</v>
      </c>
      <c r="L170" s="37">
        <v>817.38</v>
      </c>
      <c r="M170" s="19" t="s">
        <v>38</v>
      </c>
      <c r="N170" s="19">
        <v>26</v>
      </c>
      <c r="O170" s="20">
        <v>45771</v>
      </c>
      <c r="P170" s="19">
        <v>132</v>
      </c>
      <c r="Q170" s="19" t="s">
        <v>13</v>
      </c>
      <c r="R170" s="19">
        <v>4</v>
      </c>
      <c r="S170" s="20">
        <v>45784</v>
      </c>
      <c r="T170" s="19" t="s">
        <v>14</v>
      </c>
      <c r="U170" s="39">
        <f>Table1[[#This Row],[QUANTITY]]*Table1[[#This Row],[PRICE]]</f>
        <v>3269.52</v>
      </c>
    </row>
    <row r="171" spans="1:21">
      <c r="A171" s="19" t="s">
        <v>376</v>
      </c>
      <c r="B171" s="19" t="s">
        <v>46</v>
      </c>
      <c r="C171" s="19" t="s">
        <v>16</v>
      </c>
      <c r="D171" s="19" t="s">
        <v>53</v>
      </c>
      <c r="E171" s="20">
        <v>45454</v>
      </c>
      <c r="F171" s="19" t="s">
        <v>377</v>
      </c>
      <c r="G171" s="20">
        <v>45426</v>
      </c>
      <c r="H171" s="19" t="s">
        <v>62</v>
      </c>
      <c r="I171" s="19" t="s">
        <v>37</v>
      </c>
      <c r="J171" s="19" t="s">
        <v>21</v>
      </c>
      <c r="K171" s="19">
        <v>5</v>
      </c>
      <c r="L171" s="37">
        <v>1395.78</v>
      </c>
      <c r="M171" s="19" t="s">
        <v>38</v>
      </c>
      <c r="N171" s="19">
        <v>23</v>
      </c>
      <c r="O171" s="20">
        <v>45889</v>
      </c>
      <c r="P171" s="19">
        <v>101</v>
      </c>
      <c r="Q171" s="19" t="s">
        <v>23</v>
      </c>
      <c r="S171" s="20">
        <v>45820</v>
      </c>
      <c r="T171" s="19" t="s">
        <v>24</v>
      </c>
      <c r="U171" s="39">
        <f>Table1[[#This Row],[QUANTITY]]*Table1[[#This Row],[PRICE]]</f>
        <v>6978.9</v>
      </c>
    </row>
    <row r="172" spans="1:21">
      <c r="A172" s="19" t="s">
        <v>378</v>
      </c>
      <c r="B172" s="19" t="s">
        <v>26</v>
      </c>
      <c r="C172" s="19" t="s">
        <v>27</v>
      </c>
      <c r="D172" s="19" t="s">
        <v>17</v>
      </c>
      <c r="E172" s="20">
        <v>45331</v>
      </c>
      <c r="F172" s="19" t="s">
        <v>379</v>
      </c>
      <c r="G172" s="20">
        <v>45426</v>
      </c>
      <c r="H172" s="19" t="s">
        <v>44</v>
      </c>
      <c r="I172" s="19" t="s">
        <v>51</v>
      </c>
      <c r="J172" s="19" t="s">
        <v>21</v>
      </c>
      <c r="K172" s="19">
        <v>5</v>
      </c>
      <c r="L172" s="37">
        <v>1175.49</v>
      </c>
      <c r="M172" s="19" t="s">
        <v>38</v>
      </c>
      <c r="N172" s="19">
        <v>7</v>
      </c>
      <c r="O172" s="20">
        <v>45583</v>
      </c>
      <c r="P172" s="19">
        <v>71</v>
      </c>
      <c r="Q172" s="19" t="s">
        <v>23</v>
      </c>
      <c r="S172" s="20">
        <v>45553</v>
      </c>
      <c r="T172" s="19" t="s">
        <v>24</v>
      </c>
      <c r="U172" s="39">
        <f>Table1[[#This Row],[QUANTITY]]*Table1[[#This Row],[PRICE]]</f>
        <v>5877.45</v>
      </c>
    </row>
    <row r="173" spans="1:21">
      <c r="A173" s="19" t="s">
        <v>380</v>
      </c>
      <c r="B173" s="19" t="s">
        <v>5</v>
      </c>
      <c r="C173" s="19" t="s">
        <v>6</v>
      </c>
      <c r="D173" s="19" t="s">
        <v>17</v>
      </c>
      <c r="E173" s="20">
        <v>45733</v>
      </c>
      <c r="F173" s="19" t="s">
        <v>381</v>
      </c>
      <c r="G173" s="20">
        <v>45426</v>
      </c>
      <c r="H173" s="19" t="s">
        <v>19</v>
      </c>
      <c r="I173" s="19" t="s">
        <v>20</v>
      </c>
      <c r="J173" s="19" t="s">
        <v>11</v>
      </c>
      <c r="K173" s="19">
        <v>5</v>
      </c>
      <c r="L173" s="37">
        <v>1149.76</v>
      </c>
      <c r="M173" s="19" t="s">
        <v>12</v>
      </c>
      <c r="N173" s="19">
        <v>40</v>
      </c>
      <c r="O173" s="20">
        <v>45559</v>
      </c>
      <c r="P173" s="19">
        <v>25</v>
      </c>
      <c r="Q173" s="19" t="s">
        <v>23</v>
      </c>
      <c r="R173" s="19">
        <v>1</v>
      </c>
      <c r="S173" s="20">
        <v>45708</v>
      </c>
      <c r="T173" s="19" t="s">
        <v>14</v>
      </c>
      <c r="U173" s="39">
        <f>Table1[[#This Row],[QUANTITY]]*Table1[[#This Row],[PRICE]]</f>
        <v>5748.8</v>
      </c>
    </row>
    <row r="174" spans="1:21">
      <c r="A174" s="19" t="s">
        <v>382</v>
      </c>
      <c r="B174" s="19" t="s">
        <v>46</v>
      </c>
      <c r="C174" s="19" t="s">
        <v>16</v>
      </c>
      <c r="D174" s="19" t="s">
        <v>31</v>
      </c>
      <c r="E174" s="20">
        <v>45765</v>
      </c>
      <c r="F174" s="19" t="s">
        <v>383</v>
      </c>
      <c r="G174" s="20">
        <v>45427</v>
      </c>
      <c r="H174" s="19" t="s">
        <v>62</v>
      </c>
      <c r="I174" s="19" t="s">
        <v>55</v>
      </c>
      <c r="J174" s="19" t="s">
        <v>48</v>
      </c>
      <c r="K174" s="19">
        <v>4</v>
      </c>
      <c r="L174" s="37">
        <v>505.52</v>
      </c>
      <c r="M174" s="19" t="s">
        <v>38</v>
      </c>
      <c r="N174" s="19">
        <v>21</v>
      </c>
      <c r="O174" s="20">
        <v>45590</v>
      </c>
      <c r="P174" s="19">
        <v>276</v>
      </c>
      <c r="Q174" s="19" t="s">
        <v>13</v>
      </c>
      <c r="R174" s="19">
        <v>5</v>
      </c>
      <c r="S174" s="20">
        <v>45698</v>
      </c>
      <c r="T174" s="19" t="s">
        <v>34</v>
      </c>
      <c r="U174" s="39">
        <f>Table1[[#This Row],[QUANTITY]]*Table1[[#This Row],[PRICE]]</f>
        <v>2022.08</v>
      </c>
    </row>
    <row r="175" spans="1:21">
      <c r="A175" s="19" t="s">
        <v>384</v>
      </c>
      <c r="B175" s="19" t="s">
        <v>5</v>
      </c>
      <c r="C175" s="19" t="s">
        <v>16</v>
      </c>
      <c r="D175" s="19" t="s">
        <v>7</v>
      </c>
      <c r="E175" s="20">
        <v>45537</v>
      </c>
      <c r="F175" s="19" t="s">
        <v>385</v>
      </c>
      <c r="G175" s="20">
        <v>45427</v>
      </c>
      <c r="H175" s="19" t="s">
        <v>62</v>
      </c>
      <c r="I175" s="19" t="s">
        <v>20</v>
      </c>
      <c r="J175" s="19" t="s">
        <v>21</v>
      </c>
      <c r="K175" s="19">
        <v>4</v>
      </c>
      <c r="L175" s="37">
        <v>1016.79</v>
      </c>
      <c r="M175" s="19" t="s">
        <v>12</v>
      </c>
      <c r="N175" s="19">
        <v>1</v>
      </c>
      <c r="O175" s="20">
        <v>45582</v>
      </c>
      <c r="P175" s="19">
        <v>310</v>
      </c>
      <c r="Q175" s="19" t="s">
        <v>13</v>
      </c>
      <c r="R175" s="19">
        <v>5</v>
      </c>
      <c r="S175" s="20">
        <v>45783</v>
      </c>
      <c r="T175" s="19" t="s">
        <v>34</v>
      </c>
      <c r="U175" s="39">
        <f>Table1[[#This Row],[QUANTITY]]*Table1[[#This Row],[PRICE]]</f>
        <v>4067.16</v>
      </c>
    </row>
    <row r="176" spans="1:21">
      <c r="A176" s="19" t="s">
        <v>386</v>
      </c>
      <c r="B176" s="19" t="s">
        <v>5</v>
      </c>
      <c r="C176" s="19" t="s">
        <v>27</v>
      </c>
      <c r="D176" s="19" t="s">
        <v>31</v>
      </c>
      <c r="E176" s="20">
        <v>45559</v>
      </c>
      <c r="F176" s="19" t="s">
        <v>387</v>
      </c>
      <c r="G176" s="20">
        <v>45427</v>
      </c>
      <c r="H176" s="19" t="s">
        <v>29</v>
      </c>
      <c r="I176" s="19" t="s">
        <v>37</v>
      </c>
      <c r="J176" s="19" t="s">
        <v>11</v>
      </c>
      <c r="K176" s="19">
        <v>1</v>
      </c>
      <c r="L176" s="37">
        <v>1044.8900000000001</v>
      </c>
      <c r="M176" s="19" t="s">
        <v>12</v>
      </c>
      <c r="N176" s="19">
        <v>40</v>
      </c>
      <c r="O176" s="20">
        <v>45770</v>
      </c>
      <c r="P176" s="19">
        <v>217</v>
      </c>
      <c r="Q176" s="19" t="s">
        <v>23</v>
      </c>
      <c r="R176" s="19">
        <v>2</v>
      </c>
      <c r="S176" s="20">
        <v>45589</v>
      </c>
      <c r="T176" s="19" t="s">
        <v>14</v>
      </c>
      <c r="U176" s="39">
        <f>Table1[[#This Row],[QUANTITY]]*Table1[[#This Row],[PRICE]]</f>
        <v>1044.8900000000001</v>
      </c>
    </row>
    <row r="177" spans="1:21">
      <c r="A177" s="19" t="s">
        <v>388</v>
      </c>
      <c r="B177" s="19" t="s">
        <v>5</v>
      </c>
      <c r="C177" s="19" t="s">
        <v>6</v>
      </c>
      <c r="D177" s="19" t="s">
        <v>7</v>
      </c>
      <c r="E177" s="20">
        <v>45692</v>
      </c>
      <c r="F177" s="19" t="s">
        <v>389</v>
      </c>
      <c r="G177" s="20">
        <v>45427</v>
      </c>
      <c r="H177" s="19" t="s">
        <v>29</v>
      </c>
      <c r="I177" s="19" t="s">
        <v>51</v>
      </c>
      <c r="J177" s="19" t="s">
        <v>21</v>
      </c>
      <c r="K177" s="19">
        <v>3</v>
      </c>
      <c r="L177" s="37">
        <v>699.07</v>
      </c>
      <c r="M177" s="19" t="s">
        <v>12</v>
      </c>
      <c r="N177" s="19">
        <v>38</v>
      </c>
      <c r="O177" s="20">
        <v>45797</v>
      </c>
      <c r="P177" s="19">
        <v>304</v>
      </c>
      <c r="Q177" s="19" t="s">
        <v>13</v>
      </c>
      <c r="R177" s="19">
        <v>4</v>
      </c>
      <c r="S177" s="20">
        <v>45709</v>
      </c>
      <c r="T177" s="19" t="s">
        <v>34</v>
      </c>
      <c r="U177" s="39">
        <f>Table1[[#This Row],[QUANTITY]]*Table1[[#This Row],[PRICE]]</f>
        <v>2097.21</v>
      </c>
    </row>
    <row r="178" spans="1:21">
      <c r="A178" s="19" t="s">
        <v>390</v>
      </c>
      <c r="B178" s="19" t="s">
        <v>5</v>
      </c>
      <c r="C178" s="19" t="s">
        <v>6</v>
      </c>
      <c r="D178" s="19" t="s">
        <v>70</v>
      </c>
      <c r="E178" s="20">
        <v>45757</v>
      </c>
      <c r="F178" s="19" t="s">
        <v>391</v>
      </c>
      <c r="G178" s="20">
        <v>45427</v>
      </c>
      <c r="H178" s="19" t="s">
        <v>62</v>
      </c>
      <c r="I178" s="19" t="s">
        <v>10</v>
      </c>
      <c r="J178" s="19" t="s">
        <v>33</v>
      </c>
      <c r="K178" s="19">
        <v>4</v>
      </c>
      <c r="L178" s="37">
        <v>1239.29</v>
      </c>
      <c r="M178" s="19" t="s">
        <v>12</v>
      </c>
      <c r="N178" s="19">
        <v>32</v>
      </c>
      <c r="O178" s="20">
        <v>45584</v>
      </c>
      <c r="P178" s="19">
        <v>141</v>
      </c>
      <c r="Q178" s="19" t="s">
        <v>23</v>
      </c>
      <c r="R178" s="19">
        <v>1</v>
      </c>
      <c r="S178" s="20">
        <v>45729</v>
      </c>
      <c r="T178" s="19" t="s">
        <v>14</v>
      </c>
      <c r="U178" s="39">
        <f>Table1[[#This Row],[QUANTITY]]*Table1[[#This Row],[PRICE]]</f>
        <v>4957.16</v>
      </c>
    </row>
    <row r="179" spans="1:21">
      <c r="A179" s="19" t="s">
        <v>392</v>
      </c>
      <c r="B179" s="19" t="s">
        <v>26</v>
      </c>
      <c r="C179" s="19" t="s">
        <v>27</v>
      </c>
      <c r="D179" s="19" t="s">
        <v>31</v>
      </c>
      <c r="E179" s="20">
        <v>45160</v>
      </c>
      <c r="F179" s="19" t="s">
        <v>393</v>
      </c>
      <c r="G179" s="20">
        <v>45427</v>
      </c>
      <c r="H179" s="19" t="s">
        <v>9</v>
      </c>
      <c r="I179" s="19" t="s">
        <v>51</v>
      </c>
      <c r="J179" s="19" t="s">
        <v>41</v>
      </c>
      <c r="K179" s="19">
        <v>2</v>
      </c>
      <c r="L179" s="37">
        <v>545.14</v>
      </c>
      <c r="M179" s="19" t="s">
        <v>22</v>
      </c>
      <c r="N179" s="19">
        <v>10</v>
      </c>
      <c r="O179" s="20">
        <v>45642</v>
      </c>
      <c r="P179" s="19">
        <v>35</v>
      </c>
      <c r="Q179" s="19" t="s">
        <v>23</v>
      </c>
      <c r="S179" s="20">
        <v>45733</v>
      </c>
      <c r="T179" s="19" t="s">
        <v>24</v>
      </c>
      <c r="U179" s="39">
        <f>Table1[[#This Row],[QUANTITY]]*Table1[[#This Row],[PRICE]]</f>
        <v>1090.28</v>
      </c>
    </row>
    <row r="180" spans="1:21">
      <c r="A180" s="19" t="s">
        <v>394</v>
      </c>
      <c r="B180" s="19" t="s">
        <v>46</v>
      </c>
      <c r="C180" s="19" t="s">
        <v>16</v>
      </c>
      <c r="D180" s="19" t="s">
        <v>31</v>
      </c>
      <c r="E180" s="20">
        <v>45858</v>
      </c>
      <c r="F180" s="19" t="s">
        <v>395</v>
      </c>
      <c r="G180" s="20">
        <v>45427</v>
      </c>
      <c r="H180" s="19" t="s">
        <v>44</v>
      </c>
      <c r="I180" s="19" t="s">
        <v>51</v>
      </c>
      <c r="J180" s="19" t="s">
        <v>48</v>
      </c>
      <c r="K180" s="19">
        <v>1</v>
      </c>
      <c r="L180" s="37">
        <v>1029.8900000000001</v>
      </c>
      <c r="M180" s="19" t="s">
        <v>12</v>
      </c>
      <c r="N180" s="19">
        <v>12</v>
      </c>
      <c r="O180" s="20">
        <v>45734</v>
      </c>
      <c r="P180" s="19">
        <v>115</v>
      </c>
      <c r="Q180" s="19" t="s">
        <v>23</v>
      </c>
      <c r="R180" s="19">
        <v>2</v>
      </c>
      <c r="S180" s="20">
        <v>45691</v>
      </c>
      <c r="T180" s="19" t="s">
        <v>14</v>
      </c>
      <c r="U180" s="39">
        <f>Table1[[#This Row],[QUANTITY]]*Table1[[#This Row],[PRICE]]</f>
        <v>1029.8900000000001</v>
      </c>
    </row>
    <row r="181" spans="1:21">
      <c r="A181" s="19" t="s">
        <v>396</v>
      </c>
      <c r="B181" s="19" t="s">
        <v>46</v>
      </c>
      <c r="C181" s="19" t="s">
        <v>6</v>
      </c>
      <c r="D181" s="19" t="s">
        <v>70</v>
      </c>
      <c r="E181" s="20">
        <v>45247</v>
      </c>
      <c r="F181" s="19" t="s">
        <v>397</v>
      </c>
      <c r="G181" s="20">
        <v>45428</v>
      </c>
      <c r="H181" s="19" t="s">
        <v>29</v>
      </c>
      <c r="I181" s="19" t="s">
        <v>51</v>
      </c>
      <c r="J181" s="19" t="s">
        <v>48</v>
      </c>
      <c r="K181" s="19">
        <v>2</v>
      </c>
      <c r="L181" s="37">
        <v>1463.74</v>
      </c>
      <c r="M181" s="19" t="s">
        <v>22</v>
      </c>
      <c r="N181" s="19">
        <v>9</v>
      </c>
      <c r="O181" s="20">
        <v>45844</v>
      </c>
      <c r="P181" s="19">
        <v>281</v>
      </c>
      <c r="Q181" s="19" t="s">
        <v>23</v>
      </c>
      <c r="S181" s="20">
        <v>45715</v>
      </c>
      <c r="T181" s="19" t="s">
        <v>24</v>
      </c>
      <c r="U181" s="39">
        <f>Table1[[#This Row],[QUANTITY]]*Table1[[#This Row],[PRICE]]</f>
        <v>2927.48</v>
      </c>
    </row>
    <row r="182" spans="1:21">
      <c r="A182" s="19" t="s">
        <v>398</v>
      </c>
      <c r="B182" s="19" t="s">
        <v>26</v>
      </c>
      <c r="C182" s="19" t="s">
        <v>27</v>
      </c>
      <c r="D182" s="19" t="s">
        <v>70</v>
      </c>
      <c r="E182" s="20">
        <v>45436</v>
      </c>
      <c r="F182" s="19" t="s">
        <v>399</v>
      </c>
      <c r="G182" s="20">
        <v>45428</v>
      </c>
      <c r="H182" s="19" t="s">
        <v>9</v>
      </c>
      <c r="I182" s="19" t="s">
        <v>55</v>
      </c>
      <c r="J182" s="19" t="s">
        <v>48</v>
      </c>
      <c r="K182" s="19">
        <v>3</v>
      </c>
      <c r="L182" s="37">
        <v>168.76</v>
      </c>
      <c r="M182" s="19" t="s">
        <v>22</v>
      </c>
      <c r="N182" s="19">
        <v>30</v>
      </c>
      <c r="O182" s="20">
        <v>45740</v>
      </c>
      <c r="P182" s="19">
        <v>258</v>
      </c>
      <c r="Q182" s="19" t="s">
        <v>23</v>
      </c>
      <c r="R182" s="19">
        <v>4</v>
      </c>
      <c r="S182" s="20">
        <v>45678</v>
      </c>
      <c r="T182" s="19" t="s">
        <v>14</v>
      </c>
      <c r="U182" s="39">
        <f>Table1[[#This Row],[QUANTITY]]*Table1[[#This Row],[PRICE]]</f>
        <v>506.28</v>
      </c>
    </row>
    <row r="183" spans="1:21">
      <c r="A183" s="19" t="s">
        <v>400</v>
      </c>
      <c r="B183" s="19" t="s">
        <v>5</v>
      </c>
      <c r="C183" s="19" t="s">
        <v>27</v>
      </c>
      <c r="D183" s="19" t="s">
        <v>70</v>
      </c>
      <c r="E183" s="20">
        <v>45195</v>
      </c>
      <c r="F183" s="19" t="s">
        <v>401</v>
      </c>
      <c r="G183" s="20">
        <v>45428</v>
      </c>
      <c r="H183" s="19" t="s">
        <v>62</v>
      </c>
      <c r="I183" s="19" t="s">
        <v>20</v>
      </c>
      <c r="J183" s="19" t="s">
        <v>11</v>
      </c>
      <c r="K183" s="19">
        <v>3</v>
      </c>
      <c r="L183" s="37">
        <v>655</v>
      </c>
      <c r="M183" s="19" t="s">
        <v>12</v>
      </c>
      <c r="N183" s="19">
        <v>25</v>
      </c>
      <c r="O183" s="20">
        <v>45734</v>
      </c>
      <c r="P183" s="19">
        <v>19</v>
      </c>
      <c r="Q183" s="19" t="s">
        <v>23</v>
      </c>
      <c r="R183" s="19">
        <v>2</v>
      </c>
      <c r="S183" s="20">
        <v>45870</v>
      </c>
      <c r="T183" s="19" t="s">
        <v>14</v>
      </c>
      <c r="U183" s="39">
        <f>Table1[[#This Row],[QUANTITY]]*Table1[[#This Row],[PRICE]]</f>
        <v>1965</v>
      </c>
    </row>
    <row r="184" spans="1:21">
      <c r="A184" s="19" t="s">
        <v>402</v>
      </c>
      <c r="B184" s="19" t="s">
        <v>46</v>
      </c>
      <c r="C184" s="19" t="s">
        <v>27</v>
      </c>
      <c r="D184" s="19" t="s">
        <v>70</v>
      </c>
      <c r="E184" s="20">
        <v>45864</v>
      </c>
      <c r="F184" s="19" t="s">
        <v>403</v>
      </c>
      <c r="G184" s="20">
        <v>45428</v>
      </c>
      <c r="H184" s="19" t="s">
        <v>29</v>
      </c>
      <c r="I184" s="19" t="s">
        <v>10</v>
      </c>
      <c r="J184" s="19" t="s">
        <v>11</v>
      </c>
      <c r="K184" s="19">
        <v>3</v>
      </c>
      <c r="L184" s="37">
        <v>1040.5999999999999</v>
      </c>
      <c r="M184" s="19" t="s">
        <v>12</v>
      </c>
      <c r="N184" s="19">
        <v>39</v>
      </c>
      <c r="O184" s="20">
        <v>45637</v>
      </c>
      <c r="P184" s="19">
        <v>484</v>
      </c>
      <c r="Q184" s="19" t="s">
        <v>13</v>
      </c>
      <c r="R184" s="19">
        <v>3</v>
      </c>
      <c r="S184" s="20">
        <v>45554</v>
      </c>
      <c r="T184" s="19" t="s">
        <v>34</v>
      </c>
      <c r="U184" s="39">
        <f>Table1[[#This Row],[QUANTITY]]*Table1[[#This Row],[PRICE]]</f>
        <v>3121.7999999999997</v>
      </c>
    </row>
    <row r="185" spans="1:21">
      <c r="A185" s="19" t="s">
        <v>404</v>
      </c>
      <c r="B185" s="19" t="s">
        <v>5</v>
      </c>
      <c r="C185" s="19" t="s">
        <v>6</v>
      </c>
      <c r="D185" s="19" t="s">
        <v>70</v>
      </c>
      <c r="E185" s="20">
        <v>45431</v>
      </c>
      <c r="F185" s="19" t="s">
        <v>405</v>
      </c>
      <c r="G185" s="20">
        <v>45428</v>
      </c>
      <c r="H185" s="19" t="s">
        <v>44</v>
      </c>
      <c r="I185" s="19" t="s">
        <v>51</v>
      </c>
      <c r="J185" s="19" t="s">
        <v>33</v>
      </c>
      <c r="K185" s="19">
        <v>1</v>
      </c>
      <c r="L185" s="37">
        <v>1287.1400000000001</v>
      </c>
      <c r="M185" s="19" t="s">
        <v>38</v>
      </c>
      <c r="N185" s="19">
        <v>17</v>
      </c>
      <c r="O185" s="20">
        <v>45661</v>
      </c>
      <c r="P185" s="19">
        <v>325</v>
      </c>
      <c r="Q185" s="19" t="s">
        <v>23</v>
      </c>
      <c r="R185" s="19">
        <v>4</v>
      </c>
      <c r="S185" s="20">
        <v>45771</v>
      </c>
      <c r="T185" s="19" t="s">
        <v>14</v>
      </c>
      <c r="U185" s="39">
        <f>Table1[[#This Row],[QUANTITY]]*Table1[[#This Row],[PRICE]]</f>
        <v>1287.1400000000001</v>
      </c>
    </row>
    <row r="186" spans="1:21">
      <c r="A186" s="19" t="s">
        <v>406</v>
      </c>
      <c r="B186" s="19" t="s">
        <v>26</v>
      </c>
      <c r="C186" s="19" t="s">
        <v>16</v>
      </c>
      <c r="D186" s="19" t="s">
        <v>31</v>
      </c>
      <c r="E186" s="20">
        <v>45874</v>
      </c>
      <c r="F186" s="19" t="s">
        <v>407</v>
      </c>
      <c r="G186" s="20">
        <v>45428</v>
      </c>
      <c r="H186" s="19" t="s">
        <v>44</v>
      </c>
      <c r="I186" s="19" t="s">
        <v>20</v>
      </c>
      <c r="J186" s="19" t="s">
        <v>41</v>
      </c>
      <c r="K186" s="19">
        <v>2</v>
      </c>
      <c r="L186" s="37">
        <v>539.63</v>
      </c>
      <c r="M186" s="19" t="s">
        <v>22</v>
      </c>
      <c r="N186" s="19">
        <v>5</v>
      </c>
      <c r="O186" s="20">
        <v>45855</v>
      </c>
      <c r="P186" s="19">
        <v>114</v>
      </c>
      <c r="Q186" s="19" t="s">
        <v>13</v>
      </c>
      <c r="R186" s="19">
        <v>4</v>
      </c>
      <c r="S186" s="20">
        <v>45841</v>
      </c>
      <c r="T186" s="19" t="s">
        <v>14</v>
      </c>
      <c r="U186" s="39">
        <f>Table1[[#This Row],[QUANTITY]]*Table1[[#This Row],[PRICE]]</f>
        <v>1079.26</v>
      </c>
    </row>
    <row r="187" spans="1:21">
      <c r="A187" s="19" t="s">
        <v>408</v>
      </c>
      <c r="B187" s="19" t="s">
        <v>5</v>
      </c>
      <c r="C187" s="19" t="s">
        <v>16</v>
      </c>
      <c r="D187" s="19" t="s">
        <v>17</v>
      </c>
      <c r="E187" s="20">
        <v>45760</v>
      </c>
      <c r="F187" s="19" t="s">
        <v>409</v>
      </c>
      <c r="G187" s="20">
        <v>45428</v>
      </c>
      <c r="H187" s="19" t="s">
        <v>62</v>
      </c>
      <c r="I187" s="19" t="s">
        <v>51</v>
      </c>
      <c r="J187" s="19" t="s">
        <v>48</v>
      </c>
      <c r="K187" s="19">
        <v>4</v>
      </c>
      <c r="L187" s="37">
        <v>937.88</v>
      </c>
      <c r="M187" s="19" t="s">
        <v>12</v>
      </c>
      <c r="N187" s="19">
        <v>41</v>
      </c>
      <c r="O187" s="20">
        <v>45807</v>
      </c>
      <c r="P187" s="19">
        <v>197</v>
      </c>
      <c r="Q187" s="19" t="s">
        <v>23</v>
      </c>
      <c r="R187" s="19">
        <v>1</v>
      </c>
      <c r="S187" s="20">
        <v>45682</v>
      </c>
      <c r="T187" s="19" t="s">
        <v>34</v>
      </c>
      <c r="U187" s="39">
        <f>Table1[[#This Row],[QUANTITY]]*Table1[[#This Row],[PRICE]]</f>
        <v>3751.52</v>
      </c>
    </row>
    <row r="188" spans="1:21">
      <c r="A188" s="19" t="s">
        <v>410</v>
      </c>
      <c r="B188" s="19" t="s">
        <v>26</v>
      </c>
      <c r="C188" s="19" t="s">
        <v>6</v>
      </c>
      <c r="D188" s="19" t="s">
        <v>53</v>
      </c>
      <c r="E188" s="20">
        <v>45233</v>
      </c>
      <c r="F188" s="19" t="s">
        <v>411</v>
      </c>
      <c r="G188" s="20">
        <v>45428</v>
      </c>
      <c r="H188" s="19" t="s">
        <v>29</v>
      </c>
      <c r="I188" s="19" t="s">
        <v>51</v>
      </c>
      <c r="J188" s="19" t="s">
        <v>41</v>
      </c>
      <c r="K188" s="19">
        <v>4</v>
      </c>
      <c r="L188" s="37">
        <v>206.27</v>
      </c>
      <c r="M188" s="19" t="s">
        <v>38</v>
      </c>
      <c r="N188" s="19">
        <v>15</v>
      </c>
      <c r="O188" s="20">
        <v>45853</v>
      </c>
      <c r="P188" s="19">
        <v>454</v>
      </c>
      <c r="Q188" s="19" t="s">
        <v>23</v>
      </c>
      <c r="R188" s="19">
        <v>3</v>
      </c>
      <c r="S188" s="20">
        <v>45593</v>
      </c>
      <c r="T188" s="19" t="s">
        <v>34</v>
      </c>
      <c r="U188" s="39">
        <f>Table1[[#This Row],[QUANTITY]]*Table1[[#This Row],[PRICE]]</f>
        <v>825.08</v>
      </c>
    </row>
    <row r="189" spans="1:21">
      <c r="A189" s="19" t="s">
        <v>412</v>
      </c>
      <c r="B189" s="19" t="s">
        <v>26</v>
      </c>
      <c r="C189" s="19" t="s">
        <v>27</v>
      </c>
      <c r="D189" s="19" t="s">
        <v>70</v>
      </c>
      <c r="E189" s="20">
        <v>45184</v>
      </c>
      <c r="F189" s="19" t="s">
        <v>413</v>
      </c>
      <c r="G189" s="20">
        <v>45428</v>
      </c>
      <c r="H189" s="19" t="s">
        <v>44</v>
      </c>
      <c r="I189" s="19" t="s">
        <v>10</v>
      </c>
      <c r="J189" s="19" t="s">
        <v>11</v>
      </c>
      <c r="K189" s="19">
        <v>1</v>
      </c>
      <c r="L189" s="37">
        <v>654.29999999999995</v>
      </c>
      <c r="M189" s="19" t="s">
        <v>38</v>
      </c>
      <c r="N189" s="19">
        <v>15</v>
      </c>
      <c r="O189" s="20">
        <v>45748</v>
      </c>
      <c r="P189" s="19">
        <v>423</v>
      </c>
      <c r="Q189" s="19" t="s">
        <v>23</v>
      </c>
      <c r="R189" s="19">
        <v>5</v>
      </c>
      <c r="S189" s="20">
        <v>45543</v>
      </c>
      <c r="T189" s="19" t="s">
        <v>14</v>
      </c>
      <c r="U189" s="39">
        <f>Table1[[#This Row],[QUANTITY]]*Table1[[#This Row],[PRICE]]</f>
        <v>654.29999999999995</v>
      </c>
    </row>
    <row r="190" spans="1:21">
      <c r="A190" s="19" t="s">
        <v>414</v>
      </c>
      <c r="B190" s="19" t="s">
        <v>26</v>
      </c>
      <c r="C190" s="19" t="s">
        <v>6</v>
      </c>
      <c r="D190" s="19" t="s">
        <v>17</v>
      </c>
      <c r="E190" s="20">
        <v>45615</v>
      </c>
      <c r="F190" s="19" t="s">
        <v>415</v>
      </c>
      <c r="G190" s="20">
        <v>45429</v>
      </c>
      <c r="H190" s="19" t="s">
        <v>29</v>
      </c>
      <c r="I190" s="19" t="s">
        <v>37</v>
      </c>
      <c r="J190" s="19" t="s">
        <v>11</v>
      </c>
      <c r="K190" s="19">
        <v>1</v>
      </c>
      <c r="L190" s="37">
        <v>510.62</v>
      </c>
      <c r="M190" s="19" t="s">
        <v>12</v>
      </c>
      <c r="N190" s="19">
        <v>31</v>
      </c>
      <c r="O190" s="20">
        <v>45816</v>
      </c>
      <c r="P190" s="19">
        <v>500</v>
      </c>
      <c r="Q190" s="19" t="s">
        <v>13</v>
      </c>
      <c r="S190" s="20">
        <v>45560</v>
      </c>
      <c r="T190" s="19" t="s">
        <v>24</v>
      </c>
      <c r="U190" s="39">
        <f>Table1[[#This Row],[QUANTITY]]*Table1[[#This Row],[PRICE]]</f>
        <v>510.62</v>
      </c>
    </row>
    <row r="191" spans="1:21">
      <c r="A191" s="19" t="s">
        <v>416</v>
      </c>
      <c r="B191" s="19" t="s">
        <v>46</v>
      </c>
      <c r="C191" s="19" t="s">
        <v>27</v>
      </c>
      <c r="D191" s="19" t="s">
        <v>7</v>
      </c>
      <c r="E191" s="20">
        <v>45757</v>
      </c>
      <c r="F191" s="19" t="s">
        <v>417</v>
      </c>
      <c r="G191" s="20">
        <v>45429</v>
      </c>
      <c r="H191" s="19" t="s">
        <v>29</v>
      </c>
      <c r="I191" s="19" t="s">
        <v>20</v>
      </c>
      <c r="J191" s="19" t="s">
        <v>11</v>
      </c>
      <c r="K191" s="19">
        <v>1</v>
      </c>
      <c r="L191" s="37">
        <v>897.57</v>
      </c>
      <c r="M191" s="19" t="s">
        <v>38</v>
      </c>
      <c r="N191" s="19">
        <v>14</v>
      </c>
      <c r="O191" s="20">
        <v>45743</v>
      </c>
      <c r="P191" s="19">
        <v>216</v>
      </c>
      <c r="Q191" s="19" t="s">
        <v>23</v>
      </c>
      <c r="R191" s="19">
        <v>1</v>
      </c>
      <c r="S191" s="20">
        <v>45666</v>
      </c>
      <c r="T191" s="19" t="s">
        <v>14</v>
      </c>
      <c r="U191" s="39">
        <f>Table1[[#This Row],[QUANTITY]]*Table1[[#This Row],[PRICE]]</f>
        <v>897.57</v>
      </c>
    </row>
    <row r="192" spans="1:21">
      <c r="A192" s="19" t="s">
        <v>418</v>
      </c>
      <c r="B192" s="19" t="s">
        <v>46</v>
      </c>
      <c r="C192" s="19" t="s">
        <v>6</v>
      </c>
      <c r="D192" s="19" t="s">
        <v>7</v>
      </c>
      <c r="E192" s="20">
        <v>45419</v>
      </c>
      <c r="F192" s="19" t="s">
        <v>419</v>
      </c>
      <c r="G192" s="20">
        <v>45429</v>
      </c>
      <c r="H192" s="19" t="s">
        <v>29</v>
      </c>
      <c r="I192" s="19" t="s">
        <v>10</v>
      </c>
      <c r="J192" s="19" t="s">
        <v>41</v>
      </c>
      <c r="K192" s="19">
        <v>1</v>
      </c>
      <c r="L192" s="37">
        <v>497.43</v>
      </c>
      <c r="M192" s="19" t="s">
        <v>22</v>
      </c>
      <c r="N192" s="19">
        <v>29</v>
      </c>
      <c r="O192" s="20">
        <v>45800</v>
      </c>
      <c r="P192" s="19">
        <v>152</v>
      </c>
      <c r="Q192" s="19" t="s">
        <v>23</v>
      </c>
      <c r="S192" s="20">
        <v>45683</v>
      </c>
      <c r="T192" s="19" t="s">
        <v>24</v>
      </c>
      <c r="U192" s="39">
        <f>Table1[[#This Row],[QUANTITY]]*Table1[[#This Row],[PRICE]]</f>
        <v>497.43</v>
      </c>
    </row>
    <row r="193" spans="1:21">
      <c r="A193" s="19" t="s">
        <v>420</v>
      </c>
      <c r="B193" s="19" t="s">
        <v>46</v>
      </c>
      <c r="C193" s="19" t="s">
        <v>27</v>
      </c>
      <c r="D193" s="19" t="s">
        <v>17</v>
      </c>
      <c r="E193" s="20">
        <v>45710</v>
      </c>
      <c r="F193" s="19" t="s">
        <v>421</v>
      </c>
      <c r="G193" s="20">
        <v>45429</v>
      </c>
      <c r="H193" s="19" t="s">
        <v>29</v>
      </c>
      <c r="I193" s="19" t="s">
        <v>51</v>
      </c>
      <c r="J193" s="19" t="s">
        <v>33</v>
      </c>
      <c r="K193" s="19">
        <v>1</v>
      </c>
      <c r="L193" s="37">
        <v>1383.4</v>
      </c>
      <c r="M193" s="19" t="s">
        <v>22</v>
      </c>
      <c r="N193" s="19">
        <v>11</v>
      </c>
      <c r="O193" s="20">
        <v>45773</v>
      </c>
      <c r="P193" s="19">
        <v>261</v>
      </c>
      <c r="Q193" s="19" t="s">
        <v>13</v>
      </c>
      <c r="R193" s="19">
        <v>3</v>
      </c>
      <c r="S193" s="20">
        <v>45794</v>
      </c>
      <c r="T193" s="19" t="s">
        <v>34</v>
      </c>
      <c r="U193" s="39">
        <f>Table1[[#This Row],[QUANTITY]]*Table1[[#This Row],[PRICE]]</f>
        <v>1383.4</v>
      </c>
    </row>
    <row r="194" spans="1:21">
      <c r="A194" s="19" t="s">
        <v>422</v>
      </c>
      <c r="B194" s="19" t="s">
        <v>5</v>
      </c>
      <c r="C194" s="19" t="s">
        <v>16</v>
      </c>
      <c r="D194" s="19" t="s">
        <v>31</v>
      </c>
      <c r="E194" s="20">
        <v>45713</v>
      </c>
      <c r="F194" s="19" t="s">
        <v>423</v>
      </c>
      <c r="G194" s="20">
        <v>45429</v>
      </c>
      <c r="H194" s="19" t="s">
        <v>62</v>
      </c>
      <c r="I194" s="19" t="s">
        <v>55</v>
      </c>
      <c r="J194" s="19" t="s">
        <v>33</v>
      </c>
      <c r="K194" s="19">
        <v>4</v>
      </c>
      <c r="L194" s="37">
        <v>467.7</v>
      </c>
      <c r="M194" s="19" t="s">
        <v>38</v>
      </c>
      <c r="N194" s="19">
        <v>34</v>
      </c>
      <c r="O194" s="20">
        <v>45848</v>
      </c>
      <c r="P194" s="19">
        <v>385</v>
      </c>
      <c r="Q194" s="19" t="s">
        <v>13</v>
      </c>
      <c r="S194" s="20">
        <v>45890</v>
      </c>
      <c r="T194" s="19" t="s">
        <v>24</v>
      </c>
      <c r="U194" s="39">
        <f>Table1[[#This Row],[QUANTITY]]*Table1[[#This Row],[PRICE]]</f>
        <v>1870.8</v>
      </c>
    </row>
    <row r="195" spans="1:21">
      <c r="A195" s="19" t="s">
        <v>424</v>
      </c>
      <c r="B195" s="19" t="s">
        <v>5</v>
      </c>
      <c r="C195" s="19" t="s">
        <v>16</v>
      </c>
      <c r="D195" s="19" t="s">
        <v>31</v>
      </c>
      <c r="E195" s="20">
        <v>45637</v>
      </c>
      <c r="F195" s="19" t="s">
        <v>425</v>
      </c>
      <c r="G195" s="20">
        <v>45429</v>
      </c>
      <c r="H195" s="19" t="s">
        <v>44</v>
      </c>
      <c r="I195" s="19" t="s">
        <v>55</v>
      </c>
      <c r="J195" s="19" t="s">
        <v>21</v>
      </c>
      <c r="K195" s="19">
        <v>5</v>
      </c>
      <c r="L195" s="37">
        <v>1498.72</v>
      </c>
      <c r="M195" s="19" t="s">
        <v>12</v>
      </c>
      <c r="N195" s="19">
        <v>42</v>
      </c>
      <c r="O195" s="20">
        <v>45779</v>
      </c>
      <c r="P195" s="19">
        <v>70</v>
      </c>
      <c r="Q195" s="19" t="s">
        <v>23</v>
      </c>
      <c r="R195" s="19">
        <v>2</v>
      </c>
      <c r="S195" s="20">
        <v>45776</v>
      </c>
      <c r="T195" s="19" t="s">
        <v>34</v>
      </c>
      <c r="U195" s="39">
        <f>Table1[[#This Row],[QUANTITY]]*Table1[[#This Row],[PRICE]]</f>
        <v>7493.6</v>
      </c>
    </row>
    <row r="196" spans="1:21">
      <c r="A196" s="19" t="s">
        <v>426</v>
      </c>
      <c r="B196" s="19" t="s">
        <v>5</v>
      </c>
      <c r="C196" s="19" t="s">
        <v>16</v>
      </c>
      <c r="D196" s="19" t="s">
        <v>70</v>
      </c>
      <c r="E196" s="20">
        <v>45570</v>
      </c>
      <c r="F196" s="19" t="s">
        <v>427</v>
      </c>
      <c r="G196" s="20">
        <v>45429</v>
      </c>
      <c r="H196" s="19" t="s">
        <v>19</v>
      </c>
      <c r="I196" s="19" t="s">
        <v>51</v>
      </c>
      <c r="J196" s="19" t="s">
        <v>41</v>
      </c>
      <c r="K196" s="19">
        <v>3</v>
      </c>
      <c r="L196" s="37">
        <v>382.54</v>
      </c>
      <c r="M196" s="19" t="s">
        <v>12</v>
      </c>
      <c r="N196" s="19">
        <v>33</v>
      </c>
      <c r="O196" s="20">
        <v>45612</v>
      </c>
      <c r="P196" s="19">
        <v>322</v>
      </c>
      <c r="Q196" s="19" t="s">
        <v>13</v>
      </c>
      <c r="R196" s="19">
        <v>4</v>
      </c>
      <c r="S196" s="20">
        <v>45571</v>
      </c>
      <c r="T196" s="19" t="s">
        <v>14</v>
      </c>
      <c r="U196" s="39">
        <f>Table1[[#This Row],[QUANTITY]]*Table1[[#This Row],[PRICE]]</f>
        <v>1147.6200000000001</v>
      </c>
    </row>
    <row r="197" spans="1:21">
      <c r="A197" s="19" t="s">
        <v>428</v>
      </c>
      <c r="B197" s="19" t="s">
        <v>26</v>
      </c>
      <c r="C197" s="19" t="s">
        <v>6</v>
      </c>
      <c r="D197" s="19" t="s">
        <v>53</v>
      </c>
      <c r="E197" s="20">
        <v>45873</v>
      </c>
      <c r="F197" s="19" t="s">
        <v>429</v>
      </c>
      <c r="G197" s="20">
        <v>45429</v>
      </c>
      <c r="H197" s="19" t="s">
        <v>44</v>
      </c>
      <c r="I197" s="19" t="s">
        <v>20</v>
      </c>
      <c r="J197" s="19" t="s">
        <v>48</v>
      </c>
      <c r="K197" s="19">
        <v>2</v>
      </c>
      <c r="L197" s="37">
        <v>903.71</v>
      </c>
      <c r="M197" s="19" t="s">
        <v>22</v>
      </c>
      <c r="N197" s="19">
        <v>18</v>
      </c>
      <c r="O197" s="20">
        <v>45889</v>
      </c>
      <c r="P197" s="19">
        <v>143</v>
      </c>
      <c r="Q197" s="19" t="s">
        <v>13</v>
      </c>
      <c r="R197" s="19">
        <v>1</v>
      </c>
      <c r="S197" s="20">
        <v>45648</v>
      </c>
      <c r="T197" s="19" t="s">
        <v>14</v>
      </c>
      <c r="U197" s="39">
        <f>Table1[[#This Row],[QUANTITY]]*Table1[[#This Row],[PRICE]]</f>
        <v>1807.42</v>
      </c>
    </row>
    <row r="198" spans="1:21">
      <c r="A198" s="19" t="s">
        <v>430</v>
      </c>
      <c r="B198" s="19" t="s">
        <v>46</v>
      </c>
      <c r="C198" s="19" t="s">
        <v>27</v>
      </c>
      <c r="D198" s="19" t="s">
        <v>7</v>
      </c>
      <c r="E198" s="20">
        <v>45425</v>
      </c>
      <c r="F198" s="19" t="s">
        <v>431</v>
      </c>
      <c r="G198" s="20">
        <v>45429</v>
      </c>
      <c r="H198" s="19" t="s">
        <v>44</v>
      </c>
      <c r="I198" s="19" t="s">
        <v>20</v>
      </c>
      <c r="J198" s="19" t="s">
        <v>33</v>
      </c>
      <c r="K198" s="19">
        <v>5</v>
      </c>
      <c r="L198" s="37">
        <v>245.91</v>
      </c>
      <c r="M198" s="19" t="s">
        <v>22</v>
      </c>
      <c r="N198" s="19">
        <v>23</v>
      </c>
      <c r="O198" s="20">
        <v>45574</v>
      </c>
      <c r="P198" s="19">
        <v>17</v>
      </c>
      <c r="Q198" s="19" t="s">
        <v>13</v>
      </c>
      <c r="R198" s="19">
        <v>2</v>
      </c>
      <c r="S198" s="20">
        <v>45708</v>
      </c>
      <c r="T198" s="19" t="s">
        <v>14</v>
      </c>
      <c r="U198" s="39">
        <f>Table1[[#This Row],[QUANTITY]]*Table1[[#This Row],[PRICE]]</f>
        <v>1229.55</v>
      </c>
    </row>
    <row r="199" spans="1:21">
      <c r="A199" s="19" t="s">
        <v>432</v>
      </c>
      <c r="B199" s="19" t="s">
        <v>5</v>
      </c>
      <c r="C199" s="19" t="s">
        <v>16</v>
      </c>
      <c r="D199" s="19" t="s">
        <v>70</v>
      </c>
      <c r="E199" s="20">
        <v>45854</v>
      </c>
      <c r="F199" s="19" t="s">
        <v>433</v>
      </c>
      <c r="G199" s="20">
        <v>45430</v>
      </c>
      <c r="H199" s="19" t="s">
        <v>19</v>
      </c>
      <c r="I199" s="19" t="s">
        <v>10</v>
      </c>
      <c r="J199" s="19" t="s">
        <v>21</v>
      </c>
      <c r="K199" s="19">
        <v>3</v>
      </c>
      <c r="L199" s="37">
        <v>573.79</v>
      </c>
      <c r="M199" s="19" t="s">
        <v>38</v>
      </c>
      <c r="N199" s="19">
        <v>42</v>
      </c>
      <c r="O199" s="20">
        <v>45819</v>
      </c>
      <c r="P199" s="19">
        <v>26</v>
      </c>
      <c r="Q199" s="19" t="s">
        <v>23</v>
      </c>
      <c r="R199" s="19">
        <v>5</v>
      </c>
      <c r="S199" s="20">
        <v>45855</v>
      </c>
      <c r="T199" s="19" t="s">
        <v>34</v>
      </c>
      <c r="U199" s="39">
        <f>Table1[[#This Row],[QUANTITY]]*Table1[[#This Row],[PRICE]]</f>
        <v>1721.37</v>
      </c>
    </row>
    <row r="200" spans="1:21">
      <c r="A200" s="19" t="s">
        <v>434</v>
      </c>
      <c r="B200" s="19" t="s">
        <v>46</v>
      </c>
      <c r="C200" s="19" t="s">
        <v>27</v>
      </c>
      <c r="D200" s="19" t="s">
        <v>70</v>
      </c>
      <c r="E200" s="20">
        <v>45218</v>
      </c>
      <c r="F200" s="19" t="s">
        <v>435</v>
      </c>
      <c r="G200" s="20">
        <v>45430</v>
      </c>
      <c r="H200" s="19" t="s">
        <v>19</v>
      </c>
      <c r="I200" s="19" t="s">
        <v>37</v>
      </c>
      <c r="J200" s="19" t="s">
        <v>11</v>
      </c>
      <c r="K200" s="19">
        <v>1</v>
      </c>
      <c r="L200" s="37">
        <v>982.15</v>
      </c>
      <c r="M200" s="19" t="s">
        <v>12</v>
      </c>
      <c r="N200" s="19">
        <v>50</v>
      </c>
      <c r="O200" s="20">
        <v>45706</v>
      </c>
      <c r="P200" s="19">
        <v>376</v>
      </c>
      <c r="Q200" s="19" t="s">
        <v>13</v>
      </c>
      <c r="S200" s="20">
        <v>45862</v>
      </c>
      <c r="T200" s="19" t="s">
        <v>24</v>
      </c>
      <c r="U200" s="39">
        <f>Table1[[#This Row],[QUANTITY]]*Table1[[#This Row],[PRICE]]</f>
        <v>982.15</v>
      </c>
    </row>
    <row r="201" spans="1:21">
      <c r="A201" s="19" t="s">
        <v>436</v>
      </c>
      <c r="B201" s="19" t="s">
        <v>26</v>
      </c>
      <c r="C201" s="19" t="s">
        <v>6</v>
      </c>
      <c r="D201" s="19" t="s">
        <v>31</v>
      </c>
      <c r="E201" s="20">
        <v>45174</v>
      </c>
      <c r="F201" s="19" t="s">
        <v>437</v>
      </c>
      <c r="G201" s="20">
        <v>45430</v>
      </c>
      <c r="H201" s="19" t="s">
        <v>29</v>
      </c>
      <c r="I201" s="19" t="s">
        <v>51</v>
      </c>
      <c r="J201" s="19" t="s">
        <v>33</v>
      </c>
      <c r="K201" s="19">
        <v>2</v>
      </c>
      <c r="L201" s="37">
        <v>1200.8399999999999</v>
      </c>
      <c r="M201" s="19" t="s">
        <v>38</v>
      </c>
      <c r="N201" s="19">
        <v>2</v>
      </c>
      <c r="O201" s="20">
        <v>45785</v>
      </c>
      <c r="P201" s="19">
        <v>134</v>
      </c>
      <c r="Q201" s="19" t="s">
        <v>23</v>
      </c>
      <c r="R201" s="19">
        <v>4</v>
      </c>
      <c r="S201" s="20">
        <v>45647</v>
      </c>
      <c r="T201" s="19" t="s">
        <v>34</v>
      </c>
      <c r="U201" s="39">
        <f>Table1[[#This Row],[QUANTITY]]*Table1[[#This Row],[PRICE]]</f>
        <v>2401.6799999999998</v>
      </c>
    </row>
    <row r="202" spans="1:21">
      <c r="A202" s="19" t="s">
        <v>438</v>
      </c>
      <c r="B202" s="19" t="s">
        <v>26</v>
      </c>
      <c r="C202" s="19" t="s">
        <v>16</v>
      </c>
      <c r="D202" s="19" t="s">
        <v>31</v>
      </c>
      <c r="E202" s="20">
        <v>45713</v>
      </c>
      <c r="F202" s="19" t="s">
        <v>439</v>
      </c>
      <c r="G202" s="20">
        <v>45430</v>
      </c>
      <c r="H202" s="19" t="s">
        <v>19</v>
      </c>
      <c r="I202" s="19" t="s">
        <v>20</v>
      </c>
      <c r="J202" s="19" t="s">
        <v>11</v>
      </c>
      <c r="K202" s="19">
        <v>3</v>
      </c>
      <c r="L202" s="37">
        <v>1341.7</v>
      </c>
      <c r="M202" s="19" t="s">
        <v>22</v>
      </c>
      <c r="N202" s="19">
        <v>30</v>
      </c>
      <c r="O202" s="20">
        <v>45820</v>
      </c>
      <c r="P202" s="19">
        <v>277</v>
      </c>
      <c r="Q202" s="19" t="s">
        <v>23</v>
      </c>
      <c r="R202" s="19">
        <v>1</v>
      </c>
      <c r="S202" s="20">
        <v>45750</v>
      </c>
      <c r="T202" s="19" t="s">
        <v>14</v>
      </c>
      <c r="U202" s="39">
        <f>Table1[[#This Row],[QUANTITY]]*Table1[[#This Row],[PRICE]]</f>
        <v>4025.1000000000004</v>
      </c>
    </row>
    <row r="203" spans="1:21">
      <c r="A203" s="19" t="s">
        <v>440</v>
      </c>
      <c r="B203" s="19" t="s">
        <v>46</v>
      </c>
      <c r="C203" s="19" t="s">
        <v>27</v>
      </c>
      <c r="D203" s="19" t="s">
        <v>53</v>
      </c>
      <c r="E203" s="20">
        <v>45463</v>
      </c>
      <c r="F203" s="19" t="s">
        <v>441</v>
      </c>
      <c r="G203" s="20">
        <v>45430</v>
      </c>
      <c r="H203" s="19" t="s">
        <v>44</v>
      </c>
      <c r="I203" s="19" t="s">
        <v>20</v>
      </c>
      <c r="J203" s="19" t="s">
        <v>48</v>
      </c>
      <c r="K203" s="19">
        <v>3</v>
      </c>
      <c r="L203" s="37">
        <v>313.86</v>
      </c>
      <c r="M203" s="19" t="s">
        <v>12</v>
      </c>
      <c r="N203" s="19">
        <v>21</v>
      </c>
      <c r="O203" s="20">
        <v>45580</v>
      </c>
      <c r="P203" s="19">
        <v>295</v>
      </c>
      <c r="Q203" s="19" t="s">
        <v>23</v>
      </c>
      <c r="R203" s="19">
        <v>1</v>
      </c>
      <c r="S203" s="20">
        <v>45683</v>
      </c>
      <c r="T203" s="19" t="s">
        <v>34</v>
      </c>
      <c r="U203" s="39">
        <f>Table1[[#This Row],[QUANTITY]]*Table1[[#This Row],[PRICE]]</f>
        <v>941.58</v>
      </c>
    </row>
    <row r="204" spans="1:21">
      <c r="A204" s="19" t="s">
        <v>442</v>
      </c>
      <c r="B204" s="19" t="s">
        <v>46</v>
      </c>
      <c r="C204" s="19" t="s">
        <v>16</v>
      </c>
      <c r="D204" s="19" t="s">
        <v>7</v>
      </c>
      <c r="E204" s="20">
        <v>45292</v>
      </c>
      <c r="F204" s="19" t="s">
        <v>443</v>
      </c>
      <c r="G204" s="20">
        <v>45430</v>
      </c>
      <c r="H204" s="19" t="s">
        <v>62</v>
      </c>
      <c r="I204" s="19" t="s">
        <v>20</v>
      </c>
      <c r="J204" s="19" t="s">
        <v>11</v>
      </c>
      <c r="K204" s="19">
        <v>5</v>
      </c>
      <c r="L204" s="37">
        <v>908.05</v>
      </c>
      <c r="M204" s="19" t="s">
        <v>38</v>
      </c>
      <c r="N204" s="19">
        <v>44</v>
      </c>
      <c r="O204" s="20">
        <v>45717</v>
      </c>
      <c r="P204" s="19">
        <v>336</v>
      </c>
      <c r="Q204" s="19" t="s">
        <v>13</v>
      </c>
      <c r="R204" s="19">
        <v>1</v>
      </c>
      <c r="S204" s="20">
        <v>45649</v>
      </c>
      <c r="T204" s="19" t="s">
        <v>14</v>
      </c>
      <c r="U204" s="39">
        <f>Table1[[#This Row],[QUANTITY]]*Table1[[#This Row],[PRICE]]</f>
        <v>4540.25</v>
      </c>
    </row>
    <row r="205" spans="1:21">
      <c r="A205" s="19" t="s">
        <v>444</v>
      </c>
      <c r="B205" s="19" t="s">
        <v>26</v>
      </c>
      <c r="C205" s="19" t="s">
        <v>6</v>
      </c>
      <c r="D205" s="19" t="s">
        <v>53</v>
      </c>
      <c r="E205" s="20">
        <v>45523</v>
      </c>
      <c r="F205" s="19" t="s">
        <v>445</v>
      </c>
      <c r="G205" s="20">
        <v>45430</v>
      </c>
      <c r="H205" s="19" t="s">
        <v>44</v>
      </c>
      <c r="I205" s="19" t="s">
        <v>10</v>
      </c>
      <c r="J205" s="19" t="s">
        <v>33</v>
      </c>
      <c r="K205" s="19">
        <v>1</v>
      </c>
      <c r="L205" s="37">
        <v>841.93</v>
      </c>
      <c r="M205" s="19" t="s">
        <v>12</v>
      </c>
      <c r="N205" s="19">
        <v>26</v>
      </c>
      <c r="O205" s="20">
        <v>45758</v>
      </c>
      <c r="P205" s="19">
        <v>449</v>
      </c>
      <c r="Q205" s="19" t="s">
        <v>13</v>
      </c>
      <c r="R205" s="19">
        <v>5</v>
      </c>
      <c r="S205" s="20">
        <v>45747</v>
      </c>
      <c r="T205" s="19" t="s">
        <v>34</v>
      </c>
      <c r="U205" s="39">
        <f>Table1[[#This Row],[QUANTITY]]*Table1[[#This Row],[PRICE]]</f>
        <v>841.93</v>
      </c>
    </row>
    <row r="206" spans="1:21">
      <c r="A206" s="19" t="s">
        <v>446</v>
      </c>
      <c r="B206" s="19" t="s">
        <v>5</v>
      </c>
      <c r="C206" s="19" t="s">
        <v>6</v>
      </c>
      <c r="D206" s="19" t="s">
        <v>31</v>
      </c>
      <c r="E206" s="20">
        <v>45670</v>
      </c>
      <c r="F206" s="19" t="s">
        <v>447</v>
      </c>
      <c r="G206" s="20">
        <v>45430</v>
      </c>
      <c r="H206" s="19" t="s">
        <v>29</v>
      </c>
      <c r="I206" s="19" t="s">
        <v>51</v>
      </c>
      <c r="J206" s="19" t="s">
        <v>21</v>
      </c>
      <c r="K206" s="19">
        <v>3</v>
      </c>
      <c r="L206" s="37">
        <v>187.21</v>
      </c>
      <c r="M206" s="19" t="s">
        <v>22</v>
      </c>
      <c r="N206" s="19">
        <v>6</v>
      </c>
      <c r="O206" s="20">
        <v>45670</v>
      </c>
      <c r="P206" s="19">
        <v>5</v>
      </c>
      <c r="Q206" s="19" t="s">
        <v>13</v>
      </c>
      <c r="R206" s="19">
        <v>2</v>
      </c>
      <c r="S206" s="20">
        <v>45610</v>
      </c>
      <c r="T206" s="19" t="s">
        <v>14</v>
      </c>
      <c r="U206" s="39">
        <f>Table1[[#This Row],[QUANTITY]]*Table1[[#This Row],[PRICE]]</f>
        <v>561.63</v>
      </c>
    </row>
    <row r="207" spans="1:21">
      <c r="A207" s="19" t="s">
        <v>448</v>
      </c>
      <c r="B207" s="19" t="s">
        <v>46</v>
      </c>
      <c r="C207" s="19" t="s">
        <v>16</v>
      </c>
      <c r="D207" s="19" t="s">
        <v>31</v>
      </c>
      <c r="E207" s="20">
        <v>45448</v>
      </c>
      <c r="F207" s="19" t="s">
        <v>449</v>
      </c>
      <c r="G207" s="20">
        <v>45430</v>
      </c>
      <c r="H207" s="19" t="s">
        <v>62</v>
      </c>
      <c r="I207" s="19" t="s">
        <v>20</v>
      </c>
      <c r="J207" s="19" t="s">
        <v>21</v>
      </c>
      <c r="K207" s="19">
        <v>2</v>
      </c>
      <c r="L207" s="37">
        <v>1266.83</v>
      </c>
      <c r="M207" s="19" t="s">
        <v>12</v>
      </c>
      <c r="N207" s="19">
        <v>3</v>
      </c>
      <c r="O207" s="20">
        <v>45841</v>
      </c>
      <c r="P207" s="19">
        <v>51</v>
      </c>
      <c r="Q207" s="19" t="s">
        <v>23</v>
      </c>
      <c r="R207" s="19">
        <v>5</v>
      </c>
      <c r="S207" s="20">
        <v>45757</v>
      </c>
      <c r="T207" s="19" t="s">
        <v>14</v>
      </c>
      <c r="U207" s="39">
        <f>Table1[[#This Row],[QUANTITY]]*Table1[[#This Row],[PRICE]]</f>
        <v>2533.66</v>
      </c>
    </row>
    <row r="208" spans="1:21">
      <c r="A208" s="19" t="s">
        <v>450</v>
      </c>
      <c r="B208" s="19" t="s">
        <v>5</v>
      </c>
      <c r="C208" s="19" t="s">
        <v>6</v>
      </c>
      <c r="D208" s="19" t="s">
        <v>70</v>
      </c>
      <c r="E208" s="20">
        <v>45530</v>
      </c>
      <c r="F208" s="19" t="s">
        <v>451</v>
      </c>
      <c r="G208" s="20">
        <v>45430</v>
      </c>
      <c r="H208" s="19" t="s">
        <v>9</v>
      </c>
      <c r="I208" s="19" t="s">
        <v>37</v>
      </c>
      <c r="J208" s="19" t="s">
        <v>48</v>
      </c>
      <c r="K208" s="19">
        <v>5</v>
      </c>
      <c r="L208" s="37">
        <v>663.78</v>
      </c>
      <c r="M208" s="19" t="s">
        <v>12</v>
      </c>
      <c r="N208" s="19">
        <v>32</v>
      </c>
      <c r="O208" s="20">
        <v>45804</v>
      </c>
      <c r="P208" s="19">
        <v>153</v>
      </c>
      <c r="Q208" s="19" t="s">
        <v>23</v>
      </c>
      <c r="R208" s="19">
        <v>4</v>
      </c>
      <c r="S208" s="20">
        <v>45780</v>
      </c>
      <c r="T208" s="19" t="s">
        <v>14</v>
      </c>
      <c r="U208" s="39">
        <f>Table1[[#This Row],[QUANTITY]]*Table1[[#This Row],[PRICE]]</f>
        <v>3318.8999999999996</v>
      </c>
    </row>
    <row r="209" spans="1:21">
      <c r="A209" s="19" t="s">
        <v>452</v>
      </c>
      <c r="B209" s="19" t="s">
        <v>26</v>
      </c>
      <c r="C209" s="19" t="s">
        <v>27</v>
      </c>
      <c r="D209" s="19" t="s">
        <v>31</v>
      </c>
      <c r="E209" s="20">
        <v>45833</v>
      </c>
      <c r="F209" s="19" t="s">
        <v>453</v>
      </c>
      <c r="G209" s="20">
        <v>45430</v>
      </c>
      <c r="H209" s="19" t="s">
        <v>9</v>
      </c>
      <c r="I209" s="19" t="s">
        <v>20</v>
      </c>
      <c r="J209" s="19" t="s">
        <v>21</v>
      </c>
      <c r="K209" s="19">
        <v>1</v>
      </c>
      <c r="L209" s="37">
        <v>1411.3</v>
      </c>
      <c r="M209" s="19" t="s">
        <v>38</v>
      </c>
      <c r="N209" s="19">
        <v>17</v>
      </c>
      <c r="O209" s="20">
        <v>45719</v>
      </c>
      <c r="P209" s="19">
        <v>249</v>
      </c>
      <c r="Q209" s="19" t="s">
        <v>13</v>
      </c>
      <c r="R209" s="19">
        <v>3</v>
      </c>
      <c r="S209" s="20">
        <v>45704</v>
      </c>
      <c r="T209" s="19" t="s">
        <v>14</v>
      </c>
      <c r="U209" s="39">
        <f>Table1[[#This Row],[QUANTITY]]*Table1[[#This Row],[PRICE]]</f>
        <v>1411.3</v>
      </c>
    </row>
    <row r="210" spans="1:21">
      <c r="A210" s="19" t="s">
        <v>454</v>
      </c>
      <c r="B210" s="19" t="s">
        <v>46</v>
      </c>
      <c r="C210" s="19" t="s">
        <v>16</v>
      </c>
      <c r="D210" s="19" t="s">
        <v>70</v>
      </c>
      <c r="E210" s="20">
        <v>45589</v>
      </c>
      <c r="F210" s="19" t="s">
        <v>455</v>
      </c>
      <c r="G210" s="20">
        <v>45430</v>
      </c>
      <c r="H210" s="19" t="s">
        <v>62</v>
      </c>
      <c r="I210" s="19" t="s">
        <v>10</v>
      </c>
      <c r="J210" s="19" t="s">
        <v>33</v>
      </c>
      <c r="K210" s="19">
        <v>2</v>
      </c>
      <c r="L210" s="37">
        <v>690.46</v>
      </c>
      <c r="M210" s="19" t="s">
        <v>38</v>
      </c>
      <c r="N210" s="19">
        <v>26</v>
      </c>
      <c r="O210" s="20">
        <v>45849</v>
      </c>
      <c r="P210" s="19">
        <v>214</v>
      </c>
      <c r="Q210" s="19" t="s">
        <v>13</v>
      </c>
      <c r="R210" s="19">
        <v>1</v>
      </c>
      <c r="S210" s="20">
        <v>45797</v>
      </c>
      <c r="T210" s="19" t="s">
        <v>14</v>
      </c>
      <c r="U210" s="39">
        <f>Table1[[#This Row],[QUANTITY]]*Table1[[#This Row],[PRICE]]</f>
        <v>1380.92</v>
      </c>
    </row>
    <row r="211" spans="1:21">
      <c r="A211" s="19" t="s">
        <v>456</v>
      </c>
      <c r="B211" s="19" t="s">
        <v>26</v>
      </c>
      <c r="C211" s="19" t="s">
        <v>27</v>
      </c>
      <c r="D211" s="19" t="s">
        <v>17</v>
      </c>
      <c r="E211" s="20">
        <v>45294</v>
      </c>
      <c r="F211" s="19" t="s">
        <v>457</v>
      </c>
      <c r="G211" s="20">
        <v>45430</v>
      </c>
      <c r="H211" s="19" t="s">
        <v>29</v>
      </c>
      <c r="I211" s="19" t="s">
        <v>51</v>
      </c>
      <c r="J211" s="19" t="s">
        <v>41</v>
      </c>
      <c r="K211" s="19">
        <v>3</v>
      </c>
      <c r="L211" s="37">
        <v>340.31</v>
      </c>
      <c r="M211" s="19" t="s">
        <v>12</v>
      </c>
      <c r="N211" s="19">
        <v>26</v>
      </c>
      <c r="O211" s="20">
        <v>45772</v>
      </c>
      <c r="P211" s="19">
        <v>268</v>
      </c>
      <c r="Q211" s="19" t="s">
        <v>13</v>
      </c>
      <c r="R211" s="19">
        <v>5</v>
      </c>
      <c r="S211" s="20">
        <v>45555</v>
      </c>
      <c r="T211" s="19" t="s">
        <v>34</v>
      </c>
      <c r="U211" s="39">
        <f>Table1[[#This Row],[QUANTITY]]*Table1[[#This Row],[PRICE]]</f>
        <v>1020.9300000000001</v>
      </c>
    </row>
    <row r="212" spans="1:21">
      <c r="A212" s="19" t="s">
        <v>458</v>
      </c>
      <c r="B212" s="19" t="s">
        <v>26</v>
      </c>
      <c r="C212" s="19" t="s">
        <v>6</v>
      </c>
      <c r="D212" s="19" t="s">
        <v>17</v>
      </c>
      <c r="E212" s="20">
        <v>45774</v>
      </c>
      <c r="F212" s="19" t="s">
        <v>459</v>
      </c>
      <c r="G212" s="20">
        <v>45431</v>
      </c>
      <c r="H212" s="19" t="s">
        <v>44</v>
      </c>
      <c r="I212" s="19" t="s">
        <v>55</v>
      </c>
      <c r="J212" s="19" t="s">
        <v>21</v>
      </c>
      <c r="K212" s="19">
        <v>2</v>
      </c>
      <c r="L212" s="37">
        <v>381.61</v>
      </c>
      <c r="M212" s="19" t="s">
        <v>38</v>
      </c>
      <c r="N212" s="19">
        <v>46</v>
      </c>
      <c r="O212" s="20">
        <v>45676</v>
      </c>
      <c r="P212" s="19">
        <v>53</v>
      </c>
      <c r="Q212" s="19" t="s">
        <v>23</v>
      </c>
      <c r="S212" s="20">
        <v>45737</v>
      </c>
      <c r="T212" s="19" t="s">
        <v>24</v>
      </c>
      <c r="U212" s="39">
        <f>Table1[[#This Row],[QUANTITY]]*Table1[[#This Row],[PRICE]]</f>
        <v>763.22</v>
      </c>
    </row>
    <row r="213" spans="1:21">
      <c r="A213" s="19" t="s">
        <v>460</v>
      </c>
      <c r="B213" s="19" t="s">
        <v>26</v>
      </c>
      <c r="C213" s="19" t="s">
        <v>16</v>
      </c>
      <c r="D213" s="19" t="s">
        <v>31</v>
      </c>
      <c r="E213" s="20">
        <v>45251</v>
      </c>
      <c r="F213" s="19" t="s">
        <v>461</v>
      </c>
      <c r="G213" s="20">
        <v>45431</v>
      </c>
      <c r="H213" s="19" t="s">
        <v>9</v>
      </c>
      <c r="I213" s="19" t="s">
        <v>51</v>
      </c>
      <c r="J213" s="19" t="s">
        <v>41</v>
      </c>
      <c r="K213" s="19">
        <v>5</v>
      </c>
      <c r="L213" s="37">
        <v>153.93</v>
      </c>
      <c r="M213" s="19" t="s">
        <v>22</v>
      </c>
      <c r="N213" s="19">
        <v>17</v>
      </c>
      <c r="O213" s="20">
        <v>45695</v>
      </c>
      <c r="P213" s="19">
        <v>486</v>
      </c>
      <c r="Q213" s="19" t="s">
        <v>13</v>
      </c>
      <c r="R213" s="19">
        <v>5</v>
      </c>
      <c r="S213" s="20">
        <v>45577</v>
      </c>
      <c r="T213" s="19" t="s">
        <v>14</v>
      </c>
      <c r="U213" s="39">
        <f>Table1[[#This Row],[QUANTITY]]*Table1[[#This Row],[PRICE]]</f>
        <v>769.65000000000009</v>
      </c>
    </row>
    <row r="214" spans="1:21">
      <c r="A214" s="19" t="s">
        <v>462</v>
      </c>
      <c r="B214" s="19" t="s">
        <v>46</v>
      </c>
      <c r="C214" s="19" t="s">
        <v>6</v>
      </c>
      <c r="D214" s="19" t="s">
        <v>53</v>
      </c>
      <c r="E214" s="20">
        <v>45507</v>
      </c>
      <c r="F214" s="19" t="s">
        <v>463</v>
      </c>
      <c r="G214" s="20">
        <v>45431</v>
      </c>
      <c r="H214" s="19" t="s">
        <v>62</v>
      </c>
      <c r="I214" s="19" t="s">
        <v>37</v>
      </c>
      <c r="J214" s="19" t="s">
        <v>11</v>
      </c>
      <c r="K214" s="19">
        <v>2</v>
      </c>
      <c r="L214" s="37">
        <v>1416.53</v>
      </c>
      <c r="M214" s="19" t="s">
        <v>12</v>
      </c>
      <c r="N214" s="19">
        <v>20</v>
      </c>
      <c r="O214" s="20">
        <v>45805</v>
      </c>
      <c r="P214" s="19">
        <v>15</v>
      </c>
      <c r="Q214" s="19" t="s">
        <v>23</v>
      </c>
      <c r="S214" s="20">
        <v>45707</v>
      </c>
      <c r="T214" s="19" t="s">
        <v>24</v>
      </c>
      <c r="U214" s="39">
        <f>Table1[[#This Row],[QUANTITY]]*Table1[[#This Row],[PRICE]]</f>
        <v>2833.06</v>
      </c>
    </row>
    <row r="215" spans="1:21">
      <c r="A215" s="19" t="s">
        <v>464</v>
      </c>
      <c r="B215" s="19" t="s">
        <v>5</v>
      </c>
      <c r="C215" s="19" t="s">
        <v>27</v>
      </c>
      <c r="D215" s="19" t="s">
        <v>53</v>
      </c>
      <c r="E215" s="20">
        <v>45809</v>
      </c>
      <c r="F215" s="19" t="s">
        <v>465</v>
      </c>
      <c r="G215" s="20">
        <v>45431</v>
      </c>
      <c r="H215" s="19" t="s">
        <v>29</v>
      </c>
      <c r="I215" s="19" t="s">
        <v>55</v>
      </c>
      <c r="J215" s="19" t="s">
        <v>41</v>
      </c>
      <c r="K215" s="19">
        <v>3</v>
      </c>
      <c r="L215" s="37">
        <v>533.83000000000004</v>
      </c>
      <c r="M215" s="19" t="s">
        <v>38</v>
      </c>
      <c r="N215" s="19">
        <v>29</v>
      </c>
      <c r="O215" s="20">
        <v>45637</v>
      </c>
      <c r="P215" s="19">
        <v>379</v>
      </c>
      <c r="Q215" s="19" t="s">
        <v>23</v>
      </c>
      <c r="R215" s="19">
        <v>1</v>
      </c>
      <c r="S215" s="20">
        <v>45770</v>
      </c>
      <c r="T215" s="19" t="s">
        <v>34</v>
      </c>
      <c r="U215" s="39">
        <f>Table1[[#This Row],[QUANTITY]]*Table1[[#This Row],[PRICE]]</f>
        <v>1601.4900000000002</v>
      </c>
    </row>
    <row r="216" spans="1:21">
      <c r="A216" s="19" t="s">
        <v>466</v>
      </c>
      <c r="B216" s="19" t="s">
        <v>5</v>
      </c>
      <c r="C216" s="19" t="s">
        <v>27</v>
      </c>
      <c r="D216" s="19" t="s">
        <v>31</v>
      </c>
      <c r="E216" s="20">
        <v>45198</v>
      </c>
      <c r="F216" s="19" t="s">
        <v>467</v>
      </c>
      <c r="G216" s="20">
        <v>45431</v>
      </c>
      <c r="H216" s="19" t="s">
        <v>9</v>
      </c>
      <c r="I216" s="19" t="s">
        <v>37</v>
      </c>
      <c r="J216" s="19" t="s">
        <v>11</v>
      </c>
      <c r="K216" s="19">
        <v>1</v>
      </c>
      <c r="L216" s="37">
        <v>1058.71</v>
      </c>
      <c r="M216" s="19" t="s">
        <v>22</v>
      </c>
      <c r="N216" s="19">
        <v>6</v>
      </c>
      <c r="O216" s="20">
        <v>45541</v>
      </c>
      <c r="P216" s="19">
        <v>67</v>
      </c>
      <c r="Q216" s="19" t="s">
        <v>13</v>
      </c>
      <c r="R216" s="19">
        <v>5</v>
      </c>
      <c r="S216" s="20">
        <v>45577</v>
      </c>
      <c r="T216" s="19" t="s">
        <v>34</v>
      </c>
      <c r="U216" s="39">
        <f>Table1[[#This Row],[QUANTITY]]*Table1[[#This Row],[PRICE]]</f>
        <v>1058.71</v>
      </c>
    </row>
    <row r="217" spans="1:21">
      <c r="A217" s="19" t="s">
        <v>468</v>
      </c>
      <c r="B217" s="19" t="s">
        <v>46</v>
      </c>
      <c r="C217" s="19" t="s">
        <v>27</v>
      </c>
      <c r="D217" s="19" t="s">
        <v>53</v>
      </c>
      <c r="E217" s="20">
        <v>45867</v>
      </c>
      <c r="F217" s="19" t="s">
        <v>469</v>
      </c>
      <c r="G217" s="20">
        <v>45431</v>
      </c>
      <c r="H217" s="19" t="s">
        <v>29</v>
      </c>
      <c r="I217" s="19" t="s">
        <v>37</v>
      </c>
      <c r="J217" s="19" t="s">
        <v>11</v>
      </c>
      <c r="K217" s="19">
        <v>5</v>
      </c>
      <c r="L217" s="37">
        <v>252.54</v>
      </c>
      <c r="M217" s="19" t="s">
        <v>12</v>
      </c>
      <c r="N217" s="19">
        <v>44</v>
      </c>
      <c r="O217" s="20">
        <v>45817</v>
      </c>
      <c r="P217" s="19">
        <v>398</v>
      </c>
      <c r="Q217" s="19" t="s">
        <v>23</v>
      </c>
      <c r="R217" s="19">
        <v>5</v>
      </c>
      <c r="S217" s="20">
        <v>45713</v>
      </c>
      <c r="T217" s="19" t="s">
        <v>14</v>
      </c>
      <c r="U217" s="39">
        <f>Table1[[#This Row],[QUANTITY]]*Table1[[#This Row],[PRICE]]</f>
        <v>1262.7</v>
      </c>
    </row>
    <row r="218" spans="1:21">
      <c r="A218" s="19" t="s">
        <v>470</v>
      </c>
      <c r="B218" s="19" t="s">
        <v>46</v>
      </c>
      <c r="C218" s="19" t="s">
        <v>6</v>
      </c>
      <c r="D218" s="19" t="s">
        <v>31</v>
      </c>
      <c r="E218" s="20">
        <v>45664</v>
      </c>
      <c r="F218" s="19" t="s">
        <v>471</v>
      </c>
      <c r="G218" s="20">
        <v>45431</v>
      </c>
      <c r="H218" s="19" t="s">
        <v>29</v>
      </c>
      <c r="I218" s="19" t="s">
        <v>55</v>
      </c>
      <c r="J218" s="19" t="s">
        <v>48</v>
      </c>
      <c r="K218" s="19">
        <v>4</v>
      </c>
      <c r="L218" s="37">
        <v>485.14</v>
      </c>
      <c r="M218" s="19" t="s">
        <v>38</v>
      </c>
      <c r="N218" s="19">
        <v>47</v>
      </c>
      <c r="O218" s="20">
        <v>45611</v>
      </c>
      <c r="P218" s="19">
        <v>157</v>
      </c>
      <c r="Q218" s="19" t="s">
        <v>13</v>
      </c>
      <c r="R218" s="19">
        <v>2</v>
      </c>
      <c r="S218" s="20">
        <v>45578</v>
      </c>
      <c r="T218" s="19" t="s">
        <v>14</v>
      </c>
      <c r="U218" s="39">
        <f>Table1[[#This Row],[QUANTITY]]*Table1[[#This Row],[PRICE]]</f>
        <v>1940.56</v>
      </c>
    </row>
    <row r="219" spans="1:21">
      <c r="A219" s="19" t="s">
        <v>472</v>
      </c>
      <c r="B219" s="19" t="s">
        <v>5</v>
      </c>
      <c r="C219" s="19" t="s">
        <v>6</v>
      </c>
      <c r="D219" s="19" t="s">
        <v>53</v>
      </c>
      <c r="E219" s="20">
        <v>45768</v>
      </c>
      <c r="F219" s="19" t="s">
        <v>473</v>
      </c>
      <c r="G219" s="20">
        <v>45431</v>
      </c>
      <c r="H219" s="19" t="s">
        <v>19</v>
      </c>
      <c r="I219" s="19" t="s">
        <v>51</v>
      </c>
      <c r="J219" s="19" t="s">
        <v>11</v>
      </c>
      <c r="K219" s="19">
        <v>2</v>
      </c>
      <c r="L219" s="37">
        <v>919.17</v>
      </c>
      <c r="M219" s="19" t="s">
        <v>12</v>
      </c>
      <c r="N219" s="19">
        <v>50</v>
      </c>
      <c r="O219" s="20">
        <v>45563</v>
      </c>
      <c r="P219" s="19">
        <v>311</v>
      </c>
      <c r="Q219" s="19" t="s">
        <v>13</v>
      </c>
      <c r="R219" s="19">
        <v>3</v>
      </c>
      <c r="S219" s="20">
        <v>45538</v>
      </c>
      <c r="T219" s="19" t="s">
        <v>34</v>
      </c>
      <c r="U219" s="39">
        <f>Table1[[#This Row],[QUANTITY]]*Table1[[#This Row],[PRICE]]</f>
        <v>1838.34</v>
      </c>
    </row>
    <row r="220" spans="1:21">
      <c r="A220" s="19" t="s">
        <v>474</v>
      </c>
      <c r="B220" s="19" t="s">
        <v>5</v>
      </c>
      <c r="C220" s="19" t="s">
        <v>27</v>
      </c>
      <c r="D220" s="19" t="s">
        <v>31</v>
      </c>
      <c r="E220" s="20">
        <v>45235</v>
      </c>
      <c r="F220" s="19" t="s">
        <v>475</v>
      </c>
      <c r="G220" s="20">
        <v>45432</v>
      </c>
      <c r="H220" s="19" t="s">
        <v>62</v>
      </c>
      <c r="I220" s="19" t="s">
        <v>51</v>
      </c>
      <c r="J220" s="19" t="s">
        <v>33</v>
      </c>
      <c r="K220" s="19">
        <v>3</v>
      </c>
      <c r="L220" s="37">
        <v>228.46</v>
      </c>
      <c r="M220" s="19" t="s">
        <v>22</v>
      </c>
      <c r="N220" s="19">
        <v>11</v>
      </c>
      <c r="O220" s="20">
        <v>45685</v>
      </c>
      <c r="P220" s="19">
        <v>17</v>
      </c>
      <c r="Q220" s="19" t="s">
        <v>13</v>
      </c>
      <c r="R220" s="19">
        <v>2</v>
      </c>
      <c r="S220" s="20">
        <v>45597</v>
      </c>
      <c r="T220" s="19" t="s">
        <v>34</v>
      </c>
      <c r="U220" s="39">
        <f>Table1[[#This Row],[QUANTITY]]*Table1[[#This Row],[PRICE]]</f>
        <v>685.38</v>
      </c>
    </row>
    <row r="221" spans="1:21">
      <c r="A221" s="19" t="s">
        <v>476</v>
      </c>
      <c r="B221" s="19" t="s">
        <v>26</v>
      </c>
      <c r="C221" s="19" t="s">
        <v>6</v>
      </c>
      <c r="D221" s="19" t="s">
        <v>53</v>
      </c>
      <c r="E221" s="20">
        <v>45644</v>
      </c>
      <c r="F221" s="19" t="s">
        <v>477</v>
      </c>
      <c r="G221" s="20">
        <v>45432</v>
      </c>
      <c r="H221" s="19" t="s">
        <v>62</v>
      </c>
      <c r="I221" s="19" t="s">
        <v>37</v>
      </c>
      <c r="J221" s="19" t="s">
        <v>41</v>
      </c>
      <c r="K221" s="19">
        <v>1</v>
      </c>
      <c r="L221" s="37">
        <v>900.71</v>
      </c>
      <c r="M221" s="19" t="s">
        <v>38</v>
      </c>
      <c r="N221" s="19">
        <v>45</v>
      </c>
      <c r="O221" s="20">
        <v>45791</v>
      </c>
      <c r="P221" s="19">
        <v>486</v>
      </c>
      <c r="Q221" s="19" t="s">
        <v>13</v>
      </c>
      <c r="S221" s="20">
        <v>45779</v>
      </c>
      <c r="T221" s="19" t="s">
        <v>24</v>
      </c>
      <c r="U221" s="39">
        <f>Table1[[#This Row],[QUANTITY]]*Table1[[#This Row],[PRICE]]</f>
        <v>900.71</v>
      </c>
    </row>
    <row r="222" spans="1:21">
      <c r="A222" s="19" t="s">
        <v>478</v>
      </c>
      <c r="B222" s="19" t="s">
        <v>26</v>
      </c>
      <c r="C222" s="19" t="s">
        <v>6</v>
      </c>
      <c r="D222" s="19" t="s">
        <v>31</v>
      </c>
      <c r="E222" s="20">
        <v>45645</v>
      </c>
      <c r="F222" s="19" t="s">
        <v>479</v>
      </c>
      <c r="G222" s="20">
        <v>45432</v>
      </c>
      <c r="H222" s="19" t="s">
        <v>29</v>
      </c>
      <c r="I222" s="19" t="s">
        <v>20</v>
      </c>
      <c r="J222" s="19" t="s">
        <v>33</v>
      </c>
      <c r="K222" s="19">
        <v>5</v>
      </c>
      <c r="L222" s="37">
        <v>709.31</v>
      </c>
      <c r="M222" s="19" t="s">
        <v>22</v>
      </c>
      <c r="N222" s="19">
        <v>36</v>
      </c>
      <c r="O222" s="20">
        <v>45680</v>
      </c>
      <c r="P222" s="19">
        <v>4</v>
      </c>
      <c r="Q222" s="19" t="s">
        <v>13</v>
      </c>
      <c r="R222" s="19">
        <v>5</v>
      </c>
      <c r="S222" s="20">
        <v>45599</v>
      </c>
      <c r="T222" s="19" t="s">
        <v>34</v>
      </c>
      <c r="U222" s="39">
        <f>Table1[[#This Row],[QUANTITY]]*Table1[[#This Row],[PRICE]]</f>
        <v>3546.5499999999997</v>
      </c>
    </row>
    <row r="223" spans="1:21">
      <c r="A223" s="19" t="s">
        <v>480</v>
      </c>
      <c r="B223" s="19" t="s">
        <v>26</v>
      </c>
      <c r="C223" s="19" t="s">
        <v>27</v>
      </c>
      <c r="D223" s="19" t="s">
        <v>70</v>
      </c>
      <c r="E223" s="20">
        <v>45540</v>
      </c>
      <c r="F223" s="19" t="s">
        <v>481</v>
      </c>
      <c r="G223" s="20">
        <v>45432</v>
      </c>
      <c r="H223" s="19" t="s">
        <v>19</v>
      </c>
      <c r="I223" s="19" t="s">
        <v>37</v>
      </c>
      <c r="J223" s="19" t="s">
        <v>48</v>
      </c>
      <c r="K223" s="19">
        <v>5</v>
      </c>
      <c r="L223" s="37">
        <v>1113.3</v>
      </c>
      <c r="M223" s="19" t="s">
        <v>12</v>
      </c>
      <c r="N223" s="19">
        <v>35</v>
      </c>
      <c r="O223" s="20">
        <v>45793</v>
      </c>
      <c r="P223" s="19">
        <v>294</v>
      </c>
      <c r="Q223" s="19" t="s">
        <v>23</v>
      </c>
      <c r="S223" s="20">
        <v>45735</v>
      </c>
      <c r="T223" s="19" t="s">
        <v>24</v>
      </c>
      <c r="U223" s="39">
        <f>Table1[[#This Row],[QUANTITY]]*Table1[[#This Row],[PRICE]]</f>
        <v>5566.5</v>
      </c>
    </row>
    <row r="224" spans="1:21">
      <c r="A224" s="19" t="s">
        <v>482</v>
      </c>
      <c r="B224" s="19" t="s">
        <v>5</v>
      </c>
      <c r="C224" s="19" t="s">
        <v>27</v>
      </c>
      <c r="D224" s="19" t="s">
        <v>17</v>
      </c>
      <c r="E224" s="20">
        <v>45464</v>
      </c>
      <c r="F224" s="19" t="s">
        <v>483</v>
      </c>
      <c r="G224" s="20">
        <v>45432</v>
      </c>
      <c r="H224" s="19" t="s">
        <v>62</v>
      </c>
      <c r="I224" s="19" t="s">
        <v>37</v>
      </c>
      <c r="J224" s="19" t="s">
        <v>41</v>
      </c>
      <c r="K224" s="19">
        <v>4</v>
      </c>
      <c r="L224" s="37">
        <v>953.63</v>
      </c>
      <c r="M224" s="19" t="s">
        <v>22</v>
      </c>
      <c r="N224" s="19">
        <v>15</v>
      </c>
      <c r="O224" s="20">
        <v>45713</v>
      </c>
      <c r="P224" s="19">
        <v>130</v>
      </c>
      <c r="Q224" s="19" t="s">
        <v>13</v>
      </c>
      <c r="R224" s="19">
        <v>3</v>
      </c>
      <c r="S224" s="20">
        <v>45692</v>
      </c>
      <c r="T224" s="19" t="s">
        <v>14</v>
      </c>
      <c r="U224" s="39">
        <f>Table1[[#This Row],[QUANTITY]]*Table1[[#This Row],[PRICE]]</f>
        <v>3814.52</v>
      </c>
    </row>
    <row r="225" spans="1:21">
      <c r="A225" s="19" t="s">
        <v>484</v>
      </c>
      <c r="B225" s="19" t="s">
        <v>5</v>
      </c>
      <c r="C225" s="19" t="s">
        <v>6</v>
      </c>
      <c r="D225" s="19" t="s">
        <v>70</v>
      </c>
      <c r="E225" s="20">
        <v>45758</v>
      </c>
      <c r="F225" s="19" t="s">
        <v>485</v>
      </c>
      <c r="G225" s="20">
        <v>45432</v>
      </c>
      <c r="H225" s="19" t="s">
        <v>29</v>
      </c>
      <c r="I225" s="19" t="s">
        <v>37</v>
      </c>
      <c r="J225" s="19" t="s">
        <v>33</v>
      </c>
      <c r="K225" s="19">
        <v>4</v>
      </c>
      <c r="L225" s="37">
        <v>905.45</v>
      </c>
      <c r="M225" s="19" t="s">
        <v>38</v>
      </c>
      <c r="N225" s="19">
        <v>14</v>
      </c>
      <c r="O225" s="20">
        <v>45846</v>
      </c>
      <c r="P225" s="19">
        <v>303</v>
      </c>
      <c r="Q225" s="19" t="s">
        <v>23</v>
      </c>
      <c r="R225" s="19">
        <v>4</v>
      </c>
      <c r="S225" s="20">
        <v>45578</v>
      </c>
      <c r="T225" s="19" t="s">
        <v>14</v>
      </c>
      <c r="U225" s="39">
        <f>Table1[[#This Row],[QUANTITY]]*Table1[[#This Row],[PRICE]]</f>
        <v>3621.8</v>
      </c>
    </row>
    <row r="226" spans="1:21">
      <c r="A226" s="19" t="s">
        <v>486</v>
      </c>
      <c r="B226" s="19" t="s">
        <v>26</v>
      </c>
      <c r="C226" s="19" t="s">
        <v>6</v>
      </c>
      <c r="D226" s="19" t="s">
        <v>17</v>
      </c>
      <c r="E226" s="20">
        <v>45876</v>
      </c>
      <c r="F226" s="19" t="s">
        <v>487</v>
      </c>
      <c r="G226" s="20">
        <v>45432</v>
      </c>
      <c r="H226" s="19" t="s">
        <v>29</v>
      </c>
      <c r="I226" s="19" t="s">
        <v>10</v>
      </c>
      <c r="J226" s="19" t="s">
        <v>11</v>
      </c>
      <c r="K226" s="19">
        <v>1</v>
      </c>
      <c r="L226" s="37">
        <v>1278.9000000000001</v>
      </c>
      <c r="M226" s="19" t="s">
        <v>22</v>
      </c>
      <c r="N226" s="19">
        <v>44</v>
      </c>
      <c r="O226" s="20">
        <v>45560</v>
      </c>
      <c r="P226" s="19">
        <v>25</v>
      </c>
      <c r="Q226" s="19" t="s">
        <v>13</v>
      </c>
      <c r="R226" s="19">
        <v>2</v>
      </c>
      <c r="S226" s="20">
        <v>45862</v>
      </c>
      <c r="T226" s="19" t="s">
        <v>14</v>
      </c>
      <c r="U226" s="39">
        <f>Table1[[#This Row],[QUANTITY]]*Table1[[#This Row],[PRICE]]</f>
        <v>1278.9000000000001</v>
      </c>
    </row>
    <row r="227" spans="1:21">
      <c r="A227" s="19" t="s">
        <v>488</v>
      </c>
      <c r="B227" s="19" t="s">
        <v>5</v>
      </c>
      <c r="C227" s="19" t="s">
        <v>27</v>
      </c>
      <c r="D227" s="19" t="s">
        <v>7</v>
      </c>
      <c r="E227" s="20">
        <v>45860</v>
      </c>
      <c r="F227" s="19" t="s">
        <v>489</v>
      </c>
      <c r="G227" s="20">
        <v>45433</v>
      </c>
      <c r="H227" s="19" t="s">
        <v>9</v>
      </c>
      <c r="I227" s="19" t="s">
        <v>51</v>
      </c>
      <c r="J227" s="19" t="s">
        <v>41</v>
      </c>
      <c r="K227" s="19">
        <v>1</v>
      </c>
      <c r="L227" s="37">
        <v>1253.8499999999999</v>
      </c>
      <c r="M227" s="19" t="s">
        <v>12</v>
      </c>
      <c r="N227" s="19">
        <v>31</v>
      </c>
      <c r="O227" s="20">
        <v>45645</v>
      </c>
      <c r="P227" s="19">
        <v>267</v>
      </c>
      <c r="Q227" s="19" t="s">
        <v>13</v>
      </c>
      <c r="R227" s="19">
        <v>5</v>
      </c>
      <c r="S227" s="20">
        <v>45861</v>
      </c>
      <c r="T227" s="19" t="s">
        <v>14</v>
      </c>
      <c r="U227" s="39">
        <f>Table1[[#This Row],[QUANTITY]]*Table1[[#This Row],[PRICE]]</f>
        <v>1253.8499999999999</v>
      </c>
    </row>
    <row r="228" spans="1:21">
      <c r="A228" s="19" t="s">
        <v>490</v>
      </c>
      <c r="B228" s="19" t="s">
        <v>26</v>
      </c>
      <c r="C228" s="19" t="s">
        <v>27</v>
      </c>
      <c r="D228" s="19" t="s">
        <v>53</v>
      </c>
      <c r="E228" s="20">
        <v>45773</v>
      </c>
      <c r="F228" s="19" t="s">
        <v>491</v>
      </c>
      <c r="G228" s="20">
        <v>45433</v>
      </c>
      <c r="H228" s="19" t="s">
        <v>9</v>
      </c>
      <c r="I228" s="19" t="s">
        <v>10</v>
      </c>
      <c r="J228" s="19" t="s">
        <v>11</v>
      </c>
      <c r="K228" s="19">
        <v>1</v>
      </c>
      <c r="L228" s="37">
        <v>895.81</v>
      </c>
      <c r="M228" s="19" t="s">
        <v>12</v>
      </c>
      <c r="N228" s="19">
        <v>45</v>
      </c>
      <c r="O228" s="20">
        <v>45747</v>
      </c>
      <c r="P228" s="19">
        <v>364</v>
      </c>
      <c r="Q228" s="19" t="s">
        <v>23</v>
      </c>
      <c r="R228" s="19">
        <v>5</v>
      </c>
      <c r="S228" s="20">
        <v>45745</v>
      </c>
      <c r="T228" s="19" t="s">
        <v>14</v>
      </c>
      <c r="U228" s="39">
        <f>Table1[[#This Row],[QUANTITY]]*Table1[[#This Row],[PRICE]]</f>
        <v>895.81</v>
      </c>
    </row>
    <row r="229" spans="1:21">
      <c r="A229" s="19" t="s">
        <v>492</v>
      </c>
      <c r="B229" s="19" t="s">
        <v>46</v>
      </c>
      <c r="C229" s="19" t="s">
        <v>6</v>
      </c>
      <c r="D229" s="19" t="s">
        <v>70</v>
      </c>
      <c r="E229" s="20">
        <v>45544</v>
      </c>
      <c r="F229" s="19" t="s">
        <v>493</v>
      </c>
      <c r="G229" s="20">
        <v>45433</v>
      </c>
      <c r="H229" s="19" t="s">
        <v>9</v>
      </c>
      <c r="I229" s="19" t="s">
        <v>51</v>
      </c>
      <c r="J229" s="19" t="s">
        <v>48</v>
      </c>
      <c r="K229" s="19">
        <v>3</v>
      </c>
      <c r="L229" s="37">
        <v>1346.4</v>
      </c>
      <c r="M229" s="19" t="s">
        <v>12</v>
      </c>
      <c r="N229" s="19">
        <v>8</v>
      </c>
      <c r="O229" s="20">
        <v>45600</v>
      </c>
      <c r="P229" s="19">
        <v>381</v>
      </c>
      <c r="Q229" s="19" t="s">
        <v>13</v>
      </c>
      <c r="S229" s="20">
        <v>45752</v>
      </c>
      <c r="T229" s="19" t="s">
        <v>24</v>
      </c>
      <c r="U229" s="39">
        <f>Table1[[#This Row],[QUANTITY]]*Table1[[#This Row],[PRICE]]</f>
        <v>4039.2000000000003</v>
      </c>
    </row>
    <row r="230" spans="1:21">
      <c r="A230" s="19" t="s">
        <v>494</v>
      </c>
      <c r="B230" s="19" t="s">
        <v>46</v>
      </c>
      <c r="C230" s="19" t="s">
        <v>6</v>
      </c>
      <c r="D230" s="19" t="s">
        <v>17</v>
      </c>
      <c r="E230" s="20">
        <v>45830</v>
      </c>
      <c r="F230" s="19" t="s">
        <v>495</v>
      </c>
      <c r="G230" s="20">
        <v>45433</v>
      </c>
      <c r="H230" s="19" t="s">
        <v>19</v>
      </c>
      <c r="I230" s="19" t="s">
        <v>37</v>
      </c>
      <c r="J230" s="19" t="s">
        <v>21</v>
      </c>
      <c r="K230" s="19">
        <v>2</v>
      </c>
      <c r="L230" s="37">
        <v>924.57</v>
      </c>
      <c r="M230" s="19" t="s">
        <v>12</v>
      </c>
      <c r="N230" s="19">
        <v>23</v>
      </c>
      <c r="O230" s="20">
        <v>45742</v>
      </c>
      <c r="P230" s="19">
        <v>473</v>
      </c>
      <c r="Q230" s="19" t="s">
        <v>23</v>
      </c>
      <c r="R230" s="19">
        <v>2</v>
      </c>
      <c r="S230" s="20">
        <v>45637</v>
      </c>
      <c r="T230" s="19" t="s">
        <v>14</v>
      </c>
      <c r="U230" s="39">
        <f>Table1[[#This Row],[QUANTITY]]*Table1[[#This Row],[PRICE]]</f>
        <v>1849.14</v>
      </c>
    </row>
    <row r="231" spans="1:21">
      <c r="A231" s="19" t="s">
        <v>496</v>
      </c>
      <c r="B231" s="19" t="s">
        <v>46</v>
      </c>
      <c r="C231" s="19" t="s">
        <v>16</v>
      </c>
      <c r="D231" s="19" t="s">
        <v>70</v>
      </c>
      <c r="E231" s="20">
        <v>45573</v>
      </c>
      <c r="F231" s="19" t="s">
        <v>497</v>
      </c>
      <c r="G231" s="20">
        <v>45433</v>
      </c>
      <c r="H231" s="19" t="s">
        <v>29</v>
      </c>
      <c r="I231" s="19" t="s">
        <v>10</v>
      </c>
      <c r="J231" s="19" t="s">
        <v>33</v>
      </c>
      <c r="K231" s="19">
        <v>3</v>
      </c>
      <c r="L231" s="37">
        <v>701.39</v>
      </c>
      <c r="M231" s="19" t="s">
        <v>38</v>
      </c>
      <c r="N231" s="19">
        <v>38</v>
      </c>
      <c r="O231" s="20">
        <v>45890</v>
      </c>
      <c r="P231" s="19">
        <v>197</v>
      </c>
      <c r="Q231" s="19" t="s">
        <v>23</v>
      </c>
      <c r="R231" s="19">
        <v>3</v>
      </c>
      <c r="S231" s="20">
        <v>45711</v>
      </c>
      <c r="T231" s="19" t="s">
        <v>34</v>
      </c>
      <c r="U231" s="39">
        <f>Table1[[#This Row],[QUANTITY]]*Table1[[#This Row],[PRICE]]</f>
        <v>2104.17</v>
      </c>
    </row>
    <row r="232" spans="1:21">
      <c r="A232" s="19" t="s">
        <v>498</v>
      </c>
      <c r="B232" s="19" t="s">
        <v>5</v>
      </c>
      <c r="C232" s="19" t="s">
        <v>16</v>
      </c>
      <c r="D232" s="19" t="s">
        <v>31</v>
      </c>
      <c r="E232" s="20">
        <v>45513</v>
      </c>
      <c r="F232" s="19" t="s">
        <v>499</v>
      </c>
      <c r="G232" s="20">
        <v>45433</v>
      </c>
      <c r="H232" s="19" t="s">
        <v>9</v>
      </c>
      <c r="I232" s="19" t="s">
        <v>10</v>
      </c>
      <c r="J232" s="19" t="s">
        <v>11</v>
      </c>
      <c r="K232" s="19">
        <v>3</v>
      </c>
      <c r="L232" s="37">
        <v>748.73</v>
      </c>
      <c r="M232" s="19" t="s">
        <v>38</v>
      </c>
      <c r="N232" s="19">
        <v>15</v>
      </c>
      <c r="O232" s="20">
        <v>45694</v>
      </c>
      <c r="P232" s="19">
        <v>254</v>
      </c>
      <c r="Q232" s="19" t="s">
        <v>13</v>
      </c>
      <c r="R232" s="19">
        <v>5</v>
      </c>
      <c r="S232" s="20">
        <v>45786</v>
      </c>
      <c r="T232" s="19" t="s">
        <v>14</v>
      </c>
      <c r="U232" s="39">
        <f>Table1[[#This Row],[QUANTITY]]*Table1[[#This Row],[PRICE]]</f>
        <v>2246.19</v>
      </c>
    </row>
    <row r="233" spans="1:21">
      <c r="A233" s="19" t="s">
        <v>500</v>
      </c>
      <c r="B233" s="19" t="s">
        <v>26</v>
      </c>
      <c r="C233" s="19" t="s">
        <v>6</v>
      </c>
      <c r="D233" s="19" t="s">
        <v>17</v>
      </c>
      <c r="E233" s="20">
        <v>45867</v>
      </c>
      <c r="F233" s="19" t="s">
        <v>501</v>
      </c>
      <c r="G233" s="20">
        <v>45433</v>
      </c>
      <c r="H233" s="19" t="s">
        <v>19</v>
      </c>
      <c r="I233" s="19" t="s">
        <v>51</v>
      </c>
      <c r="J233" s="19" t="s">
        <v>33</v>
      </c>
      <c r="K233" s="19">
        <v>2</v>
      </c>
      <c r="L233" s="37">
        <v>1327.52</v>
      </c>
      <c r="M233" s="19" t="s">
        <v>22</v>
      </c>
      <c r="N233" s="19">
        <v>12</v>
      </c>
      <c r="O233" s="20">
        <v>45841</v>
      </c>
      <c r="P233" s="19">
        <v>146</v>
      </c>
      <c r="Q233" s="19" t="s">
        <v>13</v>
      </c>
      <c r="S233" s="20">
        <v>45670</v>
      </c>
      <c r="T233" s="19" t="s">
        <v>24</v>
      </c>
      <c r="U233" s="39">
        <f>Table1[[#This Row],[QUANTITY]]*Table1[[#This Row],[PRICE]]</f>
        <v>2655.04</v>
      </c>
    </row>
    <row r="234" spans="1:21">
      <c r="A234" s="19" t="s">
        <v>502</v>
      </c>
      <c r="B234" s="19" t="s">
        <v>26</v>
      </c>
      <c r="C234" s="19" t="s">
        <v>16</v>
      </c>
      <c r="D234" s="19" t="s">
        <v>53</v>
      </c>
      <c r="E234" s="20">
        <v>45695</v>
      </c>
      <c r="F234" s="19" t="s">
        <v>503</v>
      </c>
      <c r="G234" s="20">
        <v>45433</v>
      </c>
      <c r="H234" s="19" t="s">
        <v>19</v>
      </c>
      <c r="I234" s="19" t="s">
        <v>51</v>
      </c>
      <c r="J234" s="19" t="s">
        <v>41</v>
      </c>
      <c r="K234" s="19">
        <v>5</v>
      </c>
      <c r="L234" s="37">
        <v>1093.52</v>
      </c>
      <c r="M234" s="19" t="s">
        <v>22</v>
      </c>
      <c r="N234" s="19">
        <v>48</v>
      </c>
      <c r="O234" s="20">
        <v>45575</v>
      </c>
      <c r="P234" s="19">
        <v>353</v>
      </c>
      <c r="Q234" s="19" t="s">
        <v>13</v>
      </c>
      <c r="S234" s="20">
        <v>45619</v>
      </c>
      <c r="T234" s="19" t="s">
        <v>24</v>
      </c>
      <c r="U234" s="39">
        <f>Table1[[#This Row],[QUANTITY]]*Table1[[#This Row],[PRICE]]</f>
        <v>5467.6</v>
      </c>
    </row>
    <row r="235" spans="1:21">
      <c r="A235" s="19" t="s">
        <v>504</v>
      </c>
      <c r="B235" s="19" t="s">
        <v>5</v>
      </c>
      <c r="C235" s="19" t="s">
        <v>16</v>
      </c>
      <c r="D235" s="19" t="s">
        <v>7</v>
      </c>
      <c r="E235" s="20">
        <v>45632</v>
      </c>
      <c r="F235" s="19" t="s">
        <v>505</v>
      </c>
      <c r="G235" s="20">
        <v>45433</v>
      </c>
      <c r="H235" s="19" t="s">
        <v>62</v>
      </c>
      <c r="I235" s="19" t="s">
        <v>20</v>
      </c>
      <c r="J235" s="19" t="s">
        <v>48</v>
      </c>
      <c r="K235" s="19">
        <v>1</v>
      </c>
      <c r="L235" s="37">
        <v>537.69000000000005</v>
      </c>
      <c r="M235" s="19" t="s">
        <v>22</v>
      </c>
      <c r="N235" s="19">
        <v>16</v>
      </c>
      <c r="O235" s="20">
        <v>45858</v>
      </c>
      <c r="P235" s="19">
        <v>412</v>
      </c>
      <c r="Q235" s="19" t="s">
        <v>13</v>
      </c>
      <c r="R235" s="19">
        <v>5</v>
      </c>
      <c r="S235" s="20">
        <v>45883</v>
      </c>
      <c r="T235" s="19" t="s">
        <v>34</v>
      </c>
      <c r="U235" s="39">
        <f>Table1[[#This Row],[QUANTITY]]*Table1[[#This Row],[PRICE]]</f>
        <v>537.69000000000005</v>
      </c>
    </row>
    <row r="236" spans="1:21">
      <c r="A236" s="19" t="s">
        <v>506</v>
      </c>
      <c r="B236" s="19" t="s">
        <v>46</v>
      </c>
      <c r="C236" s="19" t="s">
        <v>6</v>
      </c>
      <c r="D236" s="19" t="s">
        <v>31</v>
      </c>
      <c r="E236" s="20">
        <v>45559</v>
      </c>
      <c r="F236" s="19" t="s">
        <v>507</v>
      </c>
      <c r="G236" s="20">
        <v>45433</v>
      </c>
      <c r="H236" s="19" t="s">
        <v>9</v>
      </c>
      <c r="I236" s="19" t="s">
        <v>20</v>
      </c>
      <c r="J236" s="19" t="s">
        <v>11</v>
      </c>
      <c r="K236" s="19">
        <v>2</v>
      </c>
      <c r="L236" s="37">
        <v>1449.82</v>
      </c>
      <c r="M236" s="19" t="s">
        <v>22</v>
      </c>
      <c r="N236" s="19">
        <v>37</v>
      </c>
      <c r="O236" s="20">
        <v>45884</v>
      </c>
      <c r="P236" s="19">
        <v>226</v>
      </c>
      <c r="Q236" s="19" t="s">
        <v>23</v>
      </c>
      <c r="S236" s="20">
        <v>45577</v>
      </c>
      <c r="T236" s="19" t="s">
        <v>24</v>
      </c>
      <c r="U236" s="39">
        <f>Table1[[#This Row],[QUANTITY]]*Table1[[#This Row],[PRICE]]</f>
        <v>2899.64</v>
      </c>
    </row>
    <row r="237" spans="1:21">
      <c r="A237" s="19" t="s">
        <v>508</v>
      </c>
      <c r="B237" s="19" t="s">
        <v>5</v>
      </c>
      <c r="C237" s="19" t="s">
        <v>27</v>
      </c>
      <c r="D237" s="19" t="s">
        <v>31</v>
      </c>
      <c r="E237" s="20">
        <v>45554</v>
      </c>
      <c r="F237" s="19" t="s">
        <v>509</v>
      </c>
      <c r="G237" s="20">
        <v>45434</v>
      </c>
      <c r="H237" s="19" t="s">
        <v>19</v>
      </c>
      <c r="I237" s="19" t="s">
        <v>10</v>
      </c>
      <c r="J237" s="19" t="s">
        <v>33</v>
      </c>
      <c r="K237" s="19">
        <v>2</v>
      </c>
      <c r="L237" s="37">
        <v>1307.54</v>
      </c>
      <c r="M237" s="19" t="s">
        <v>22</v>
      </c>
      <c r="N237" s="19">
        <v>49</v>
      </c>
      <c r="O237" s="20">
        <v>45848</v>
      </c>
      <c r="P237" s="19">
        <v>33</v>
      </c>
      <c r="Q237" s="19" t="s">
        <v>13</v>
      </c>
      <c r="R237" s="19">
        <v>4</v>
      </c>
      <c r="S237" s="20">
        <v>45556</v>
      </c>
      <c r="T237" s="19" t="s">
        <v>34</v>
      </c>
      <c r="U237" s="39">
        <f>Table1[[#This Row],[QUANTITY]]*Table1[[#This Row],[PRICE]]</f>
        <v>2615.08</v>
      </c>
    </row>
    <row r="238" spans="1:21">
      <c r="A238" s="19" t="s">
        <v>510</v>
      </c>
      <c r="B238" s="19" t="s">
        <v>46</v>
      </c>
      <c r="C238" s="19" t="s">
        <v>6</v>
      </c>
      <c r="D238" s="19" t="s">
        <v>70</v>
      </c>
      <c r="E238" s="20">
        <v>45448</v>
      </c>
      <c r="F238" s="19" t="s">
        <v>511</v>
      </c>
      <c r="G238" s="20">
        <v>45434</v>
      </c>
      <c r="H238" s="19" t="s">
        <v>62</v>
      </c>
      <c r="I238" s="19" t="s">
        <v>51</v>
      </c>
      <c r="J238" s="19" t="s">
        <v>33</v>
      </c>
      <c r="K238" s="19">
        <v>3</v>
      </c>
      <c r="L238" s="37">
        <v>1258.67</v>
      </c>
      <c r="M238" s="19" t="s">
        <v>38</v>
      </c>
      <c r="N238" s="19">
        <v>25</v>
      </c>
      <c r="O238" s="20">
        <v>45582</v>
      </c>
      <c r="P238" s="19">
        <v>111</v>
      </c>
      <c r="Q238" s="19" t="s">
        <v>23</v>
      </c>
      <c r="R238" s="19">
        <v>5</v>
      </c>
      <c r="S238" s="20">
        <v>45583</v>
      </c>
      <c r="T238" s="19" t="s">
        <v>34</v>
      </c>
      <c r="U238" s="39">
        <f>Table1[[#This Row],[QUANTITY]]*Table1[[#This Row],[PRICE]]</f>
        <v>3776.01</v>
      </c>
    </row>
    <row r="239" spans="1:21">
      <c r="A239" s="19" t="s">
        <v>512</v>
      </c>
      <c r="B239" s="19" t="s">
        <v>5</v>
      </c>
      <c r="C239" s="19" t="s">
        <v>6</v>
      </c>
      <c r="D239" s="19" t="s">
        <v>70</v>
      </c>
      <c r="E239" s="20">
        <v>45556</v>
      </c>
      <c r="F239" s="19" t="s">
        <v>513</v>
      </c>
      <c r="G239" s="20">
        <v>45434</v>
      </c>
      <c r="H239" s="19" t="s">
        <v>29</v>
      </c>
      <c r="I239" s="19" t="s">
        <v>55</v>
      </c>
      <c r="J239" s="19" t="s">
        <v>41</v>
      </c>
      <c r="K239" s="19">
        <v>1</v>
      </c>
      <c r="L239" s="37">
        <v>760.45</v>
      </c>
      <c r="M239" s="19" t="s">
        <v>38</v>
      </c>
      <c r="N239" s="19">
        <v>21</v>
      </c>
      <c r="O239" s="20">
        <v>45881</v>
      </c>
      <c r="P239" s="19">
        <v>308</v>
      </c>
      <c r="Q239" s="19" t="s">
        <v>23</v>
      </c>
      <c r="R239" s="19">
        <v>2</v>
      </c>
      <c r="S239" s="20">
        <v>45702</v>
      </c>
      <c r="T239" s="19" t="s">
        <v>34</v>
      </c>
      <c r="U239" s="39">
        <f>Table1[[#This Row],[QUANTITY]]*Table1[[#This Row],[PRICE]]</f>
        <v>760.45</v>
      </c>
    </row>
    <row r="240" spans="1:21">
      <c r="A240" s="19" t="s">
        <v>514</v>
      </c>
      <c r="B240" s="19" t="s">
        <v>5</v>
      </c>
      <c r="C240" s="19" t="s">
        <v>6</v>
      </c>
      <c r="D240" s="19" t="s">
        <v>7</v>
      </c>
      <c r="E240" s="20">
        <v>45452</v>
      </c>
      <c r="F240" s="19" t="s">
        <v>515</v>
      </c>
      <c r="G240" s="20">
        <v>45434</v>
      </c>
      <c r="H240" s="19" t="s">
        <v>29</v>
      </c>
      <c r="I240" s="19" t="s">
        <v>51</v>
      </c>
      <c r="J240" s="19" t="s">
        <v>48</v>
      </c>
      <c r="K240" s="19">
        <v>4</v>
      </c>
      <c r="L240" s="37">
        <v>1311.22</v>
      </c>
      <c r="M240" s="19" t="s">
        <v>22</v>
      </c>
      <c r="N240" s="19">
        <v>37</v>
      </c>
      <c r="O240" s="20">
        <v>45860</v>
      </c>
      <c r="P240" s="19">
        <v>343</v>
      </c>
      <c r="Q240" s="19" t="s">
        <v>13</v>
      </c>
      <c r="R240" s="19">
        <v>5</v>
      </c>
      <c r="S240" s="20">
        <v>45685</v>
      </c>
      <c r="T240" s="19" t="s">
        <v>14</v>
      </c>
      <c r="U240" s="39">
        <f>Table1[[#This Row],[QUANTITY]]*Table1[[#This Row],[PRICE]]</f>
        <v>5244.88</v>
      </c>
    </row>
    <row r="241" spans="1:21">
      <c r="A241" s="19" t="s">
        <v>516</v>
      </c>
      <c r="B241" s="19" t="s">
        <v>5</v>
      </c>
      <c r="C241" s="19" t="s">
        <v>16</v>
      </c>
      <c r="D241" s="19" t="s">
        <v>70</v>
      </c>
      <c r="E241" s="20">
        <v>45812</v>
      </c>
      <c r="F241" s="19" t="s">
        <v>517</v>
      </c>
      <c r="G241" s="20">
        <v>45434</v>
      </c>
      <c r="H241" s="19" t="s">
        <v>29</v>
      </c>
      <c r="I241" s="19" t="s">
        <v>55</v>
      </c>
      <c r="J241" s="19" t="s">
        <v>48</v>
      </c>
      <c r="K241" s="19">
        <v>3</v>
      </c>
      <c r="L241" s="37">
        <v>788.69</v>
      </c>
      <c r="M241" s="19" t="s">
        <v>22</v>
      </c>
      <c r="N241" s="19">
        <v>32</v>
      </c>
      <c r="O241" s="20">
        <v>45547</v>
      </c>
      <c r="P241" s="19">
        <v>436</v>
      </c>
      <c r="Q241" s="19" t="s">
        <v>13</v>
      </c>
      <c r="R241" s="19">
        <v>3</v>
      </c>
      <c r="S241" s="20">
        <v>45788</v>
      </c>
      <c r="T241" s="19" t="s">
        <v>14</v>
      </c>
      <c r="U241" s="39">
        <f>Table1[[#This Row],[QUANTITY]]*Table1[[#This Row],[PRICE]]</f>
        <v>2366.0700000000002</v>
      </c>
    </row>
    <row r="242" spans="1:21">
      <c r="A242" s="19" t="s">
        <v>518</v>
      </c>
      <c r="B242" s="19" t="s">
        <v>46</v>
      </c>
      <c r="C242" s="19" t="s">
        <v>16</v>
      </c>
      <c r="D242" s="19" t="s">
        <v>53</v>
      </c>
      <c r="E242" s="20">
        <v>45448</v>
      </c>
      <c r="F242" s="19" t="s">
        <v>519</v>
      </c>
      <c r="G242" s="20">
        <v>45434</v>
      </c>
      <c r="H242" s="19" t="s">
        <v>19</v>
      </c>
      <c r="I242" s="19" t="s">
        <v>37</v>
      </c>
      <c r="J242" s="19" t="s">
        <v>41</v>
      </c>
      <c r="K242" s="19">
        <v>4</v>
      </c>
      <c r="L242" s="37">
        <v>1283.97</v>
      </c>
      <c r="M242" s="19" t="s">
        <v>38</v>
      </c>
      <c r="N242" s="19">
        <v>16</v>
      </c>
      <c r="O242" s="20">
        <v>45732</v>
      </c>
      <c r="P242" s="19">
        <v>381</v>
      </c>
      <c r="Q242" s="19" t="s">
        <v>23</v>
      </c>
      <c r="R242" s="19">
        <v>2</v>
      </c>
      <c r="S242" s="20">
        <v>45529</v>
      </c>
      <c r="T242" s="19" t="s">
        <v>14</v>
      </c>
      <c r="U242" s="39">
        <f>Table1[[#This Row],[QUANTITY]]*Table1[[#This Row],[PRICE]]</f>
        <v>5135.88</v>
      </c>
    </row>
    <row r="243" spans="1:21">
      <c r="A243" s="19" t="s">
        <v>520</v>
      </c>
      <c r="B243" s="19" t="s">
        <v>5</v>
      </c>
      <c r="C243" s="19" t="s">
        <v>27</v>
      </c>
      <c r="D243" s="19" t="s">
        <v>7</v>
      </c>
      <c r="E243" s="20">
        <v>45860</v>
      </c>
      <c r="F243" s="19" t="s">
        <v>521</v>
      </c>
      <c r="G243" s="20">
        <v>45434</v>
      </c>
      <c r="H243" s="19" t="s">
        <v>19</v>
      </c>
      <c r="I243" s="19" t="s">
        <v>51</v>
      </c>
      <c r="J243" s="19" t="s">
        <v>41</v>
      </c>
      <c r="K243" s="19">
        <v>2</v>
      </c>
      <c r="L243" s="37">
        <v>1199.68</v>
      </c>
      <c r="M243" s="19" t="s">
        <v>22</v>
      </c>
      <c r="N243" s="19">
        <v>9</v>
      </c>
      <c r="O243" s="20">
        <v>45558</v>
      </c>
      <c r="P243" s="19">
        <v>175</v>
      </c>
      <c r="Q243" s="19" t="s">
        <v>13</v>
      </c>
      <c r="S243" s="20">
        <v>45610</v>
      </c>
      <c r="T243" s="19" t="s">
        <v>24</v>
      </c>
      <c r="U243" s="39">
        <f>Table1[[#This Row],[QUANTITY]]*Table1[[#This Row],[PRICE]]</f>
        <v>2399.36</v>
      </c>
    </row>
    <row r="244" spans="1:21">
      <c r="A244" s="19" t="s">
        <v>522</v>
      </c>
      <c r="B244" s="19" t="s">
        <v>26</v>
      </c>
      <c r="C244" s="19" t="s">
        <v>16</v>
      </c>
      <c r="D244" s="19" t="s">
        <v>7</v>
      </c>
      <c r="E244" s="20">
        <v>45862</v>
      </c>
      <c r="F244" s="19" t="s">
        <v>523</v>
      </c>
      <c r="G244" s="20">
        <v>45434</v>
      </c>
      <c r="H244" s="19" t="s">
        <v>44</v>
      </c>
      <c r="I244" s="19" t="s">
        <v>20</v>
      </c>
      <c r="J244" s="19" t="s">
        <v>21</v>
      </c>
      <c r="K244" s="19">
        <v>4</v>
      </c>
      <c r="L244" s="37">
        <v>1456.87</v>
      </c>
      <c r="M244" s="19" t="s">
        <v>22</v>
      </c>
      <c r="N244" s="19">
        <v>28</v>
      </c>
      <c r="O244" s="20">
        <v>45525</v>
      </c>
      <c r="P244" s="19">
        <v>174</v>
      </c>
      <c r="Q244" s="19" t="s">
        <v>13</v>
      </c>
      <c r="R244" s="19">
        <v>5</v>
      </c>
      <c r="S244" s="20">
        <v>45659</v>
      </c>
      <c r="T244" s="19" t="s">
        <v>14</v>
      </c>
      <c r="U244" s="39">
        <f>Table1[[#This Row],[QUANTITY]]*Table1[[#This Row],[PRICE]]</f>
        <v>5827.48</v>
      </c>
    </row>
    <row r="245" spans="1:21">
      <c r="A245" s="19" t="s">
        <v>524</v>
      </c>
      <c r="B245" s="19" t="s">
        <v>26</v>
      </c>
      <c r="C245" s="19" t="s">
        <v>27</v>
      </c>
      <c r="D245" s="19" t="s">
        <v>53</v>
      </c>
      <c r="E245" s="20">
        <v>45866</v>
      </c>
      <c r="F245" s="19" t="s">
        <v>525</v>
      </c>
      <c r="G245" s="20">
        <v>45435</v>
      </c>
      <c r="H245" s="19" t="s">
        <v>29</v>
      </c>
      <c r="I245" s="19" t="s">
        <v>55</v>
      </c>
      <c r="J245" s="19" t="s">
        <v>41</v>
      </c>
      <c r="K245" s="19">
        <v>3</v>
      </c>
      <c r="L245" s="37">
        <v>705.88</v>
      </c>
      <c r="M245" s="19" t="s">
        <v>38</v>
      </c>
      <c r="N245" s="19">
        <v>30</v>
      </c>
      <c r="O245" s="20">
        <v>45583</v>
      </c>
      <c r="P245" s="19">
        <v>225</v>
      </c>
      <c r="Q245" s="19" t="s">
        <v>23</v>
      </c>
      <c r="S245" s="20">
        <v>45763</v>
      </c>
      <c r="T245" s="19" t="s">
        <v>24</v>
      </c>
      <c r="U245" s="39">
        <f>Table1[[#This Row],[QUANTITY]]*Table1[[#This Row],[PRICE]]</f>
        <v>2117.64</v>
      </c>
    </row>
    <row r="246" spans="1:21">
      <c r="A246" s="19" t="s">
        <v>526</v>
      </c>
      <c r="B246" s="19" t="s">
        <v>46</v>
      </c>
      <c r="C246" s="19" t="s">
        <v>16</v>
      </c>
      <c r="D246" s="19" t="s">
        <v>70</v>
      </c>
      <c r="E246" s="20">
        <v>45348</v>
      </c>
      <c r="F246" s="19" t="s">
        <v>527</v>
      </c>
      <c r="G246" s="20">
        <v>45435</v>
      </c>
      <c r="H246" s="19" t="s">
        <v>9</v>
      </c>
      <c r="I246" s="19" t="s">
        <v>37</v>
      </c>
      <c r="J246" s="19" t="s">
        <v>21</v>
      </c>
      <c r="K246" s="19">
        <v>1</v>
      </c>
      <c r="L246" s="37">
        <v>1442.58</v>
      </c>
      <c r="M246" s="19" t="s">
        <v>12</v>
      </c>
      <c r="N246" s="19">
        <v>7</v>
      </c>
      <c r="O246" s="20">
        <v>45637</v>
      </c>
      <c r="P246" s="19">
        <v>38</v>
      </c>
      <c r="Q246" s="19" t="s">
        <v>23</v>
      </c>
      <c r="R246" s="19">
        <v>5</v>
      </c>
      <c r="S246" s="20">
        <v>45822</v>
      </c>
      <c r="T246" s="19" t="s">
        <v>34</v>
      </c>
      <c r="U246" s="39">
        <f>Table1[[#This Row],[QUANTITY]]*Table1[[#This Row],[PRICE]]</f>
        <v>1442.58</v>
      </c>
    </row>
    <row r="247" spans="1:21">
      <c r="A247" s="19" t="s">
        <v>528</v>
      </c>
      <c r="B247" s="19" t="s">
        <v>46</v>
      </c>
      <c r="C247" s="19" t="s">
        <v>6</v>
      </c>
      <c r="D247" s="19" t="s">
        <v>7</v>
      </c>
      <c r="E247" s="20">
        <v>45856</v>
      </c>
      <c r="F247" s="19" t="s">
        <v>529</v>
      </c>
      <c r="G247" s="20">
        <v>45435</v>
      </c>
      <c r="H247" s="19" t="s">
        <v>44</v>
      </c>
      <c r="I247" s="19" t="s">
        <v>10</v>
      </c>
      <c r="J247" s="19" t="s">
        <v>11</v>
      </c>
      <c r="K247" s="19">
        <v>2</v>
      </c>
      <c r="L247" s="37">
        <v>466.89</v>
      </c>
      <c r="M247" s="19" t="s">
        <v>22</v>
      </c>
      <c r="N247" s="19">
        <v>25</v>
      </c>
      <c r="O247" s="20">
        <v>45569</v>
      </c>
      <c r="P247" s="19">
        <v>345</v>
      </c>
      <c r="Q247" s="19" t="s">
        <v>23</v>
      </c>
      <c r="R247" s="19">
        <v>2</v>
      </c>
      <c r="S247" s="20">
        <v>45702</v>
      </c>
      <c r="T247" s="19" t="s">
        <v>34</v>
      </c>
      <c r="U247" s="39">
        <f>Table1[[#This Row],[QUANTITY]]*Table1[[#This Row],[PRICE]]</f>
        <v>933.78</v>
      </c>
    </row>
    <row r="248" spans="1:21">
      <c r="A248" s="19" t="s">
        <v>530</v>
      </c>
      <c r="B248" s="19" t="s">
        <v>46</v>
      </c>
      <c r="C248" s="19" t="s">
        <v>16</v>
      </c>
      <c r="D248" s="19" t="s">
        <v>70</v>
      </c>
      <c r="E248" s="20">
        <v>45580</v>
      </c>
      <c r="F248" s="19" t="s">
        <v>531</v>
      </c>
      <c r="G248" s="20">
        <v>45435</v>
      </c>
      <c r="H248" s="19" t="s">
        <v>19</v>
      </c>
      <c r="I248" s="19" t="s">
        <v>37</v>
      </c>
      <c r="J248" s="19" t="s">
        <v>11</v>
      </c>
      <c r="K248" s="19">
        <v>1</v>
      </c>
      <c r="L248" s="37">
        <v>539.24</v>
      </c>
      <c r="M248" s="19" t="s">
        <v>22</v>
      </c>
      <c r="N248" s="19">
        <v>30</v>
      </c>
      <c r="O248" s="20">
        <v>45577</v>
      </c>
      <c r="P248" s="19">
        <v>192</v>
      </c>
      <c r="Q248" s="19" t="s">
        <v>23</v>
      </c>
      <c r="S248" s="20">
        <v>45527</v>
      </c>
      <c r="T248" s="19" t="s">
        <v>24</v>
      </c>
      <c r="U248" s="39">
        <f>Table1[[#This Row],[QUANTITY]]*Table1[[#This Row],[PRICE]]</f>
        <v>539.24</v>
      </c>
    </row>
    <row r="249" spans="1:21">
      <c r="A249" s="19" t="s">
        <v>532</v>
      </c>
      <c r="B249" s="19" t="s">
        <v>46</v>
      </c>
      <c r="C249" s="19" t="s">
        <v>27</v>
      </c>
      <c r="D249" s="19" t="s">
        <v>17</v>
      </c>
      <c r="E249" s="20">
        <v>45865</v>
      </c>
      <c r="F249" s="19" t="s">
        <v>533</v>
      </c>
      <c r="G249" s="20">
        <v>45435</v>
      </c>
      <c r="H249" s="19" t="s">
        <v>62</v>
      </c>
      <c r="I249" s="19" t="s">
        <v>10</v>
      </c>
      <c r="J249" s="19" t="s">
        <v>11</v>
      </c>
      <c r="K249" s="19">
        <v>1</v>
      </c>
      <c r="L249" s="37">
        <v>771.48</v>
      </c>
      <c r="M249" s="19" t="s">
        <v>22</v>
      </c>
      <c r="N249" s="19">
        <v>50</v>
      </c>
      <c r="O249" s="20">
        <v>45743</v>
      </c>
      <c r="P249" s="19">
        <v>96</v>
      </c>
      <c r="Q249" s="19" t="s">
        <v>23</v>
      </c>
      <c r="S249" s="20">
        <v>45760</v>
      </c>
      <c r="T249" s="19" t="s">
        <v>24</v>
      </c>
      <c r="U249" s="39">
        <f>Table1[[#This Row],[QUANTITY]]*Table1[[#This Row],[PRICE]]</f>
        <v>771.48</v>
      </c>
    </row>
    <row r="250" spans="1:21">
      <c r="A250" s="19" t="s">
        <v>534</v>
      </c>
      <c r="B250" s="19" t="s">
        <v>46</v>
      </c>
      <c r="C250" s="19" t="s">
        <v>6</v>
      </c>
      <c r="D250" s="19" t="s">
        <v>70</v>
      </c>
      <c r="E250" s="20">
        <v>45298</v>
      </c>
      <c r="F250" s="19" t="s">
        <v>535</v>
      </c>
      <c r="G250" s="20">
        <v>45435</v>
      </c>
      <c r="H250" s="19" t="s">
        <v>29</v>
      </c>
      <c r="I250" s="19" t="s">
        <v>10</v>
      </c>
      <c r="J250" s="19" t="s">
        <v>21</v>
      </c>
      <c r="K250" s="19">
        <v>3</v>
      </c>
      <c r="L250" s="37">
        <v>1252.33</v>
      </c>
      <c r="M250" s="19" t="s">
        <v>12</v>
      </c>
      <c r="N250" s="19">
        <v>4</v>
      </c>
      <c r="O250" s="20">
        <v>45540</v>
      </c>
      <c r="P250" s="19">
        <v>256</v>
      </c>
      <c r="Q250" s="19" t="s">
        <v>23</v>
      </c>
      <c r="S250" s="20">
        <v>45814</v>
      </c>
      <c r="T250" s="19" t="s">
        <v>24</v>
      </c>
      <c r="U250" s="39">
        <f>Table1[[#This Row],[QUANTITY]]*Table1[[#This Row],[PRICE]]</f>
        <v>3756.99</v>
      </c>
    </row>
    <row r="251" spans="1:21">
      <c r="A251" s="19" t="s">
        <v>536</v>
      </c>
      <c r="B251" s="19" t="s">
        <v>26</v>
      </c>
      <c r="C251" s="19" t="s">
        <v>16</v>
      </c>
      <c r="D251" s="19" t="s">
        <v>31</v>
      </c>
      <c r="E251" s="20">
        <v>45418</v>
      </c>
      <c r="F251" s="19" t="s">
        <v>537</v>
      </c>
      <c r="G251" s="20">
        <v>45435</v>
      </c>
      <c r="H251" s="19" t="s">
        <v>9</v>
      </c>
      <c r="I251" s="19" t="s">
        <v>51</v>
      </c>
      <c r="J251" s="19" t="s">
        <v>11</v>
      </c>
      <c r="K251" s="19">
        <v>4</v>
      </c>
      <c r="L251" s="37">
        <v>1182.98</v>
      </c>
      <c r="M251" s="19" t="s">
        <v>38</v>
      </c>
      <c r="N251" s="19">
        <v>12</v>
      </c>
      <c r="O251" s="20">
        <v>45537</v>
      </c>
      <c r="P251" s="19">
        <v>200</v>
      </c>
      <c r="Q251" s="19" t="s">
        <v>13</v>
      </c>
      <c r="S251" s="20">
        <v>45847</v>
      </c>
      <c r="T251" s="19" t="s">
        <v>24</v>
      </c>
      <c r="U251" s="39">
        <f>Table1[[#This Row],[QUANTITY]]*Table1[[#This Row],[PRICE]]</f>
        <v>4731.92</v>
      </c>
    </row>
    <row r="252" spans="1:21">
      <c r="A252" s="19" t="s">
        <v>538</v>
      </c>
      <c r="B252" s="19" t="s">
        <v>46</v>
      </c>
      <c r="C252" s="19" t="s">
        <v>6</v>
      </c>
      <c r="D252" s="19" t="s">
        <v>7</v>
      </c>
      <c r="E252" s="20">
        <v>45339</v>
      </c>
      <c r="F252" s="19" t="s">
        <v>539</v>
      </c>
      <c r="G252" s="20">
        <v>45435</v>
      </c>
      <c r="H252" s="19" t="s">
        <v>44</v>
      </c>
      <c r="I252" s="19" t="s">
        <v>51</v>
      </c>
      <c r="J252" s="19" t="s">
        <v>48</v>
      </c>
      <c r="K252" s="19">
        <v>4</v>
      </c>
      <c r="L252" s="37">
        <v>1328.33</v>
      </c>
      <c r="M252" s="19" t="s">
        <v>38</v>
      </c>
      <c r="N252" s="19">
        <v>42</v>
      </c>
      <c r="O252" s="20">
        <v>45797</v>
      </c>
      <c r="P252" s="19">
        <v>460</v>
      </c>
      <c r="Q252" s="19" t="s">
        <v>13</v>
      </c>
      <c r="R252" s="19">
        <v>3</v>
      </c>
      <c r="S252" s="20">
        <v>45694</v>
      </c>
      <c r="T252" s="19" t="s">
        <v>14</v>
      </c>
      <c r="U252" s="39">
        <f>Table1[[#This Row],[QUANTITY]]*Table1[[#This Row],[PRICE]]</f>
        <v>5313.32</v>
      </c>
    </row>
    <row r="253" spans="1:21">
      <c r="A253" s="19" t="s">
        <v>540</v>
      </c>
      <c r="B253" s="19" t="s">
        <v>26</v>
      </c>
      <c r="C253" s="19" t="s">
        <v>16</v>
      </c>
      <c r="D253" s="19" t="s">
        <v>7</v>
      </c>
      <c r="E253" s="20">
        <v>45169</v>
      </c>
      <c r="F253" s="19" t="s">
        <v>541</v>
      </c>
      <c r="G253" s="20">
        <v>45435</v>
      </c>
      <c r="H253" s="19" t="s">
        <v>29</v>
      </c>
      <c r="I253" s="19" t="s">
        <v>20</v>
      </c>
      <c r="J253" s="19" t="s">
        <v>21</v>
      </c>
      <c r="K253" s="19">
        <v>1</v>
      </c>
      <c r="L253" s="37">
        <v>1469.47</v>
      </c>
      <c r="M253" s="19" t="s">
        <v>12</v>
      </c>
      <c r="N253" s="19">
        <v>18</v>
      </c>
      <c r="O253" s="20">
        <v>45878</v>
      </c>
      <c r="P253" s="19">
        <v>448</v>
      </c>
      <c r="Q253" s="19" t="s">
        <v>13</v>
      </c>
      <c r="S253" s="20">
        <v>45642</v>
      </c>
      <c r="T253" s="19" t="s">
        <v>24</v>
      </c>
      <c r="U253" s="39">
        <f>Table1[[#This Row],[QUANTITY]]*Table1[[#This Row],[PRICE]]</f>
        <v>1469.47</v>
      </c>
    </row>
    <row r="254" spans="1:21">
      <c r="A254" s="19" t="s">
        <v>542</v>
      </c>
      <c r="B254" s="19" t="s">
        <v>5</v>
      </c>
      <c r="C254" s="19" t="s">
        <v>27</v>
      </c>
      <c r="D254" s="19" t="s">
        <v>53</v>
      </c>
      <c r="E254" s="20">
        <v>45578</v>
      </c>
      <c r="F254" s="19" t="s">
        <v>543</v>
      </c>
      <c r="G254" s="20">
        <v>45436</v>
      </c>
      <c r="H254" s="19" t="s">
        <v>19</v>
      </c>
      <c r="I254" s="19" t="s">
        <v>37</v>
      </c>
      <c r="J254" s="19" t="s">
        <v>21</v>
      </c>
      <c r="K254" s="19">
        <v>3</v>
      </c>
      <c r="L254" s="37">
        <v>1487.08</v>
      </c>
      <c r="M254" s="19" t="s">
        <v>38</v>
      </c>
      <c r="N254" s="19">
        <v>42</v>
      </c>
      <c r="O254" s="20">
        <v>45721</v>
      </c>
      <c r="P254" s="19">
        <v>389</v>
      </c>
      <c r="Q254" s="19" t="s">
        <v>23</v>
      </c>
      <c r="R254" s="19">
        <v>3</v>
      </c>
      <c r="S254" s="20">
        <v>45779</v>
      </c>
      <c r="T254" s="19" t="s">
        <v>34</v>
      </c>
      <c r="U254" s="39">
        <f>Table1[[#This Row],[QUANTITY]]*Table1[[#This Row],[PRICE]]</f>
        <v>4461.24</v>
      </c>
    </row>
    <row r="255" spans="1:21">
      <c r="A255" s="19" t="s">
        <v>544</v>
      </c>
      <c r="B255" s="19" t="s">
        <v>5</v>
      </c>
      <c r="C255" s="19" t="s">
        <v>6</v>
      </c>
      <c r="D255" s="19" t="s">
        <v>53</v>
      </c>
      <c r="E255" s="20">
        <v>45885</v>
      </c>
      <c r="F255" s="19" t="s">
        <v>545</v>
      </c>
      <c r="G255" s="20">
        <v>45436</v>
      </c>
      <c r="H255" s="19" t="s">
        <v>9</v>
      </c>
      <c r="I255" s="19" t="s">
        <v>37</v>
      </c>
      <c r="J255" s="19" t="s">
        <v>41</v>
      </c>
      <c r="K255" s="19">
        <v>1</v>
      </c>
      <c r="L255" s="37">
        <v>557.49</v>
      </c>
      <c r="M255" s="19" t="s">
        <v>12</v>
      </c>
      <c r="N255" s="19">
        <v>26</v>
      </c>
      <c r="O255" s="20">
        <v>45539</v>
      </c>
      <c r="P255" s="19">
        <v>66</v>
      </c>
      <c r="Q255" s="19" t="s">
        <v>13</v>
      </c>
      <c r="R255" s="19">
        <v>2</v>
      </c>
      <c r="S255" s="20">
        <v>45808</v>
      </c>
      <c r="T255" s="19" t="s">
        <v>34</v>
      </c>
      <c r="U255" s="39">
        <f>Table1[[#This Row],[QUANTITY]]*Table1[[#This Row],[PRICE]]</f>
        <v>557.49</v>
      </c>
    </row>
    <row r="256" spans="1:21">
      <c r="A256" s="19" t="s">
        <v>546</v>
      </c>
      <c r="B256" s="19" t="s">
        <v>26</v>
      </c>
      <c r="C256" s="19" t="s">
        <v>27</v>
      </c>
      <c r="D256" s="19" t="s">
        <v>31</v>
      </c>
      <c r="E256" s="20">
        <v>45361</v>
      </c>
      <c r="F256" s="19" t="s">
        <v>547</v>
      </c>
      <c r="G256" s="20">
        <v>45436</v>
      </c>
      <c r="H256" s="19" t="s">
        <v>44</v>
      </c>
      <c r="I256" s="19" t="s">
        <v>51</v>
      </c>
      <c r="J256" s="19" t="s">
        <v>21</v>
      </c>
      <c r="K256" s="19">
        <v>5</v>
      </c>
      <c r="L256" s="37">
        <v>1039.5</v>
      </c>
      <c r="M256" s="19" t="s">
        <v>38</v>
      </c>
      <c r="N256" s="19">
        <v>22</v>
      </c>
      <c r="O256" s="20">
        <v>45542</v>
      </c>
      <c r="P256" s="19">
        <v>92</v>
      </c>
      <c r="Q256" s="19" t="s">
        <v>13</v>
      </c>
      <c r="S256" s="20">
        <v>45620</v>
      </c>
      <c r="T256" s="19" t="s">
        <v>24</v>
      </c>
      <c r="U256" s="39">
        <f>Table1[[#This Row],[QUANTITY]]*Table1[[#This Row],[PRICE]]</f>
        <v>5197.5</v>
      </c>
    </row>
    <row r="257" spans="1:21">
      <c r="A257" s="19" t="s">
        <v>548</v>
      </c>
      <c r="B257" s="19" t="s">
        <v>26</v>
      </c>
      <c r="C257" s="19" t="s">
        <v>16</v>
      </c>
      <c r="D257" s="19" t="s">
        <v>7</v>
      </c>
      <c r="E257" s="20">
        <v>45370</v>
      </c>
      <c r="F257" s="19" t="s">
        <v>549</v>
      </c>
      <c r="G257" s="20">
        <v>45436</v>
      </c>
      <c r="H257" s="19" t="s">
        <v>19</v>
      </c>
      <c r="I257" s="19" t="s">
        <v>20</v>
      </c>
      <c r="J257" s="19" t="s">
        <v>33</v>
      </c>
      <c r="K257" s="19">
        <v>5</v>
      </c>
      <c r="L257" s="37">
        <v>106.16</v>
      </c>
      <c r="M257" s="19" t="s">
        <v>22</v>
      </c>
      <c r="N257" s="19">
        <v>1</v>
      </c>
      <c r="O257" s="20">
        <v>45877</v>
      </c>
      <c r="P257" s="19">
        <v>407</v>
      </c>
      <c r="Q257" s="19" t="s">
        <v>13</v>
      </c>
      <c r="S257" s="20">
        <v>45744</v>
      </c>
      <c r="T257" s="19" t="s">
        <v>24</v>
      </c>
      <c r="U257" s="39">
        <f>Table1[[#This Row],[QUANTITY]]*Table1[[#This Row],[PRICE]]</f>
        <v>530.79999999999995</v>
      </c>
    </row>
    <row r="258" spans="1:21">
      <c r="A258" s="19" t="s">
        <v>550</v>
      </c>
      <c r="B258" s="19" t="s">
        <v>46</v>
      </c>
      <c r="C258" s="19" t="s">
        <v>6</v>
      </c>
      <c r="D258" s="19" t="s">
        <v>17</v>
      </c>
      <c r="E258" s="20">
        <v>45567</v>
      </c>
      <c r="F258" s="19" t="s">
        <v>551</v>
      </c>
      <c r="G258" s="20">
        <v>45437</v>
      </c>
      <c r="H258" s="19" t="s">
        <v>62</v>
      </c>
      <c r="I258" s="19" t="s">
        <v>20</v>
      </c>
      <c r="J258" s="19" t="s">
        <v>21</v>
      </c>
      <c r="K258" s="19">
        <v>2</v>
      </c>
      <c r="L258" s="37">
        <v>301.01</v>
      </c>
      <c r="M258" s="19" t="s">
        <v>12</v>
      </c>
      <c r="N258" s="19">
        <v>6</v>
      </c>
      <c r="O258" s="20">
        <v>45627</v>
      </c>
      <c r="P258" s="19">
        <v>497</v>
      </c>
      <c r="Q258" s="19" t="s">
        <v>13</v>
      </c>
      <c r="R258" s="19">
        <v>5</v>
      </c>
      <c r="S258" s="20">
        <v>45796</v>
      </c>
      <c r="T258" s="19" t="s">
        <v>34</v>
      </c>
      <c r="U258" s="39">
        <f>Table1[[#This Row],[QUANTITY]]*Table1[[#This Row],[PRICE]]</f>
        <v>602.02</v>
      </c>
    </row>
    <row r="259" spans="1:21">
      <c r="A259" s="19" t="s">
        <v>552</v>
      </c>
      <c r="B259" s="19" t="s">
        <v>46</v>
      </c>
      <c r="C259" s="19" t="s">
        <v>6</v>
      </c>
      <c r="D259" s="19" t="s">
        <v>17</v>
      </c>
      <c r="E259" s="20">
        <v>45199</v>
      </c>
      <c r="F259" s="19" t="s">
        <v>553</v>
      </c>
      <c r="G259" s="20">
        <v>45437</v>
      </c>
      <c r="H259" s="19" t="s">
        <v>44</v>
      </c>
      <c r="I259" s="19" t="s">
        <v>37</v>
      </c>
      <c r="J259" s="19" t="s">
        <v>33</v>
      </c>
      <c r="K259" s="19">
        <v>1</v>
      </c>
      <c r="L259" s="37">
        <v>1111.22</v>
      </c>
      <c r="M259" s="19" t="s">
        <v>12</v>
      </c>
      <c r="N259" s="19">
        <v>2</v>
      </c>
      <c r="O259" s="20">
        <v>45602</v>
      </c>
      <c r="P259" s="19">
        <v>82</v>
      </c>
      <c r="Q259" s="19" t="s">
        <v>13</v>
      </c>
      <c r="R259" s="19">
        <v>2</v>
      </c>
      <c r="S259" s="20">
        <v>45644</v>
      </c>
      <c r="T259" s="19" t="s">
        <v>14</v>
      </c>
      <c r="U259" s="39">
        <f>Table1[[#This Row],[QUANTITY]]*Table1[[#This Row],[PRICE]]</f>
        <v>1111.22</v>
      </c>
    </row>
    <row r="260" spans="1:21">
      <c r="A260" s="19" t="s">
        <v>554</v>
      </c>
      <c r="B260" s="19" t="s">
        <v>46</v>
      </c>
      <c r="C260" s="19" t="s">
        <v>27</v>
      </c>
      <c r="D260" s="19" t="s">
        <v>53</v>
      </c>
      <c r="E260" s="20">
        <v>45587</v>
      </c>
      <c r="F260" s="19" t="s">
        <v>555</v>
      </c>
      <c r="G260" s="20">
        <v>45437</v>
      </c>
      <c r="H260" s="19" t="s">
        <v>44</v>
      </c>
      <c r="I260" s="19" t="s">
        <v>51</v>
      </c>
      <c r="J260" s="19" t="s">
        <v>21</v>
      </c>
      <c r="K260" s="19">
        <v>3</v>
      </c>
      <c r="L260" s="37">
        <v>1411.37</v>
      </c>
      <c r="M260" s="19" t="s">
        <v>12</v>
      </c>
      <c r="N260" s="19">
        <v>24</v>
      </c>
      <c r="O260" s="20">
        <v>45690</v>
      </c>
      <c r="P260" s="19">
        <v>285</v>
      </c>
      <c r="Q260" s="19" t="s">
        <v>23</v>
      </c>
      <c r="S260" s="20">
        <v>45653</v>
      </c>
      <c r="T260" s="19" t="s">
        <v>24</v>
      </c>
      <c r="U260" s="39">
        <f>Table1[[#This Row],[QUANTITY]]*Table1[[#This Row],[PRICE]]</f>
        <v>4234.1099999999997</v>
      </c>
    </row>
    <row r="261" spans="1:21">
      <c r="A261" s="19" t="s">
        <v>556</v>
      </c>
      <c r="B261" s="19" t="s">
        <v>26</v>
      </c>
      <c r="C261" s="19" t="s">
        <v>6</v>
      </c>
      <c r="D261" s="19" t="s">
        <v>17</v>
      </c>
      <c r="E261" s="20">
        <v>45668</v>
      </c>
      <c r="F261" s="19" t="s">
        <v>557</v>
      </c>
      <c r="G261" s="20">
        <v>45437</v>
      </c>
      <c r="H261" s="19" t="s">
        <v>9</v>
      </c>
      <c r="I261" s="19" t="s">
        <v>55</v>
      </c>
      <c r="J261" s="19" t="s">
        <v>41</v>
      </c>
      <c r="K261" s="19">
        <v>2</v>
      </c>
      <c r="L261" s="37">
        <v>1382.43</v>
      </c>
      <c r="M261" s="19" t="s">
        <v>38</v>
      </c>
      <c r="N261" s="19">
        <v>4</v>
      </c>
      <c r="O261" s="20">
        <v>45852</v>
      </c>
      <c r="P261" s="19">
        <v>243</v>
      </c>
      <c r="Q261" s="19" t="s">
        <v>23</v>
      </c>
      <c r="S261" s="20">
        <v>45776</v>
      </c>
      <c r="T261" s="19" t="s">
        <v>24</v>
      </c>
      <c r="U261" s="39">
        <f>Table1[[#This Row],[QUANTITY]]*Table1[[#This Row],[PRICE]]</f>
        <v>2764.86</v>
      </c>
    </row>
    <row r="262" spans="1:21">
      <c r="A262" s="19" t="s">
        <v>558</v>
      </c>
      <c r="B262" s="19" t="s">
        <v>46</v>
      </c>
      <c r="C262" s="19" t="s">
        <v>16</v>
      </c>
      <c r="D262" s="19" t="s">
        <v>17</v>
      </c>
      <c r="E262" s="20">
        <v>45604</v>
      </c>
      <c r="F262" s="19" t="s">
        <v>559</v>
      </c>
      <c r="G262" s="20">
        <v>45437</v>
      </c>
      <c r="H262" s="19" t="s">
        <v>44</v>
      </c>
      <c r="I262" s="19" t="s">
        <v>55</v>
      </c>
      <c r="J262" s="19" t="s">
        <v>48</v>
      </c>
      <c r="K262" s="19">
        <v>2</v>
      </c>
      <c r="L262" s="37">
        <v>508.57</v>
      </c>
      <c r="M262" s="19" t="s">
        <v>12</v>
      </c>
      <c r="N262" s="19">
        <v>41</v>
      </c>
      <c r="O262" s="20">
        <v>45622</v>
      </c>
      <c r="P262" s="19">
        <v>459</v>
      </c>
      <c r="Q262" s="19" t="s">
        <v>13</v>
      </c>
      <c r="S262" s="20">
        <v>45687</v>
      </c>
      <c r="T262" s="19" t="s">
        <v>24</v>
      </c>
      <c r="U262" s="39">
        <f>Table1[[#This Row],[QUANTITY]]*Table1[[#This Row],[PRICE]]</f>
        <v>1017.14</v>
      </c>
    </row>
    <row r="263" spans="1:21">
      <c r="A263" s="19" t="s">
        <v>560</v>
      </c>
      <c r="B263" s="19" t="s">
        <v>26</v>
      </c>
      <c r="C263" s="19" t="s">
        <v>6</v>
      </c>
      <c r="D263" s="19" t="s">
        <v>17</v>
      </c>
      <c r="E263" s="20">
        <v>45869</v>
      </c>
      <c r="F263" s="19" t="s">
        <v>561</v>
      </c>
      <c r="G263" s="20">
        <v>45437</v>
      </c>
      <c r="H263" s="19" t="s">
        <v>29</v>
      </c>
      <c r="I263" s="19" t="s">
        <v>20</v>
      </c>
      <c r="J263" s="19" t="s">
        <v>33</v>
      </c>
      <c r="K263" s="19">
        <v>5</v>
      </c>
      <c r="L263" s="37">
        <v>1373.38</v>
      </c>
      <c r="M263" s="19" t="s">
        <v>38</v>
      </c>
      <c r="N263" s="19">
        <v>18</v>
      </c>
      <c r="O263" s="20">
        <v>45864</v>
      </c>
      <c r="P263" s="19">
        <v>475</v>
      </c>
      <c r="Q263" s="19" t="s">
        <v>23</v>
      </c>
      <c r="R263" s="19">
        <v>4</v>
      </c>
      <c r="S263" s="20">
        <v>45846</v>
      </c>
      <c r="T263" s="19" t="s">
        <v>34</v>
      </c>
      <c r="U263" s="39">
        <f>Table1[[#This Row],[QUANTITY]]*Table1[[#This Row],[PRICE]]</f>
        <v>6866.9000000000005</v>
      </c>
    </row>
    <row r="264" spans="1:21">
      <c r="A264" s="19" t="s">
        <v>562</v>
      </c>
      <c r="B264" s="19" t="s">
        <v>26</v>
      </c>
      <c r="C264" s="19" t="s">
        <v>16</v>
      </c>
      <c r="D264" s="19" t="s">
        <v>31</v>
      </c>
      <c r="E264" s="20">
        <v>45495</v>
      </c>
      <c r="F264" s="19" t="s">
        <v>563</v>
      </c>
      <c r="G264" s="20">
        <v>45437</v>
      </c>
      <c r="H264" s="19" t="s">
        <v>29</v>
      </c>
      <c r="I264" s="19" t="s">
        <v>37</v>
      </c>
      <c r="J264" s="19" t="s">
        <v>41</v>
      </c>
      <c r="K264" s="19">
        <v>3</v>
      </c>
      <c r="L264" s="37">
        <v>1438.71</v>
      </c>
      <c r="M264" s="19" t="s">
        <v>38</v>
      </c>
      <c r="N264" s="19">
        <v>21</v>
      </c>
      <c r="O264" s="20">
        <v>45719</v>
      </c>
      <c r="P264" s="19">
        <v>289</v>
      </c>
      <c r="Q264" s="19" t="s">
        <v>13</v>
      </c>
      <c r="S264" s="20">
        <v>45805</v>
      </c>
      <c r="T264" s="19" t="s">
        <v>24</v>
      </c>
      <c r="U264" s="39">
        <f>Table1[[#This Row],[QUANTITY]]*Table1[[#This Row],[PRICE]]</f>
        <v>4316.13</v>
      </c>
    </row>
    <row r="265" spans="1:21">
      <c r="A265" s="19" t="s">
        <v>564</v>
      </c>
      <c r="B265" s="19" t="s">
        <v>26</v>
      </c>
      <c r="C265" s="19" t="s">
        <v>6</v>
      </c>
      <c r="D265" s="19" t="s">
        <v>53</v>
      </c>
      <c r="E265" s="20">
        <v>45883</v>
      </c>
      <c r="F265" s="19" t="s">
        <v>565</v>
      </c>
      <c r="G265" s="20">
        <v>45438</v>
      </c>
      <c r="H265" s="19" t="s">
        <v>44</v>
      </c>
      <c r="I265" s="19" t="s">
        <v>10</v>
      </c>
      <c r="J265" s="19" t="s">
        <v>21</v>
      </c>
      <c r="K265" s="19">
        <v>4</v>
      </c>
      <c r="L265" s="37">
        <v>417.96</v>
      </c>
      <c r="M265" s="19" t="s">
        <v>22</v>
      </c>
      <c r="N265" s="19">
        <v>30</v>
      </c>
      <c r="O265" s="20">
        <v>45719</v>
      </c>
      <c r="P265" s="19">
        <v>311</v>
      </c>
      <c r="Q265" s="19" t="s">
        <v>13</v>
      </c>
      <c r="S265" s="20">
        <v>45738</v>
      </c>
      <c r="T265" s="19" t="s">
        <v>24</v>
      </c>
      <c r="U265" s="39">
        <f>Table1[[#This Row],[QUANTITY]]*Table1[[#This Row],[PRICE]]</f>
        <v>1671.84</v>
      </c>
    </row>
    <row r="266" spans="1:21">
      <c r="A266" s="19" t="s">
        <v>566</v>
      </c>
      <c r="B266" s="19" t="s">
        <v>26</v>
      </c>
      <c r="C266" s="19" t="s">
        <v>6</v>
      </c>
      <c r="D266" s="19" t="s">
        <v>31</v>
      </c>
      <c r="E266" s="20">
        <v>45747</v>
      </c>
      <c r="F266" s="19" t="s">
        <v>567</v>
      </c>
      <c r="G266" s="20">
        <v>45438</v>
      </c>
      <c r="H266" s="19" t="s">
        <v>29</v>
      </c>
      <c r="I266" s="19" t="s">
        <v>51</v>
      </c>
      <c r="J266" s="19" t="s">
        <v>41</v>
      </c>
      <c r="K266" s="19">
        <v>5</v>
      </c>
      <c r="L266" s="37">
        <v>424.28</v>
      </c>
      <c r="M266" s="19" t="s">
        <v>12</v>
      </c>
      <c r="N266" s="19">
        <v>50</v>
      </c>
      <c r="O266" s="20">
        <v>45816</v>
      </c>
      <c r="P266" s="19">
        <v>345</v>
      </c>
      <c r="Q266" s="19" t="s">
        <v>13</v>
      </c>
      <c r="R266" s="19">
        <v>3</v>
      </c>
      <c r="S266" s="20">
        <v>45732</v>
      </c>
      <c r="T266" s="19" t="s">
        <v>14</v>
      </c>
      <c r="U266" s="39">
        <f>Table1[[#This Row],[QUANTITY]]*Table1[[#This Row],[PRICE]]</f>
        <v>2121.3999999999996</v>
      </c>
    </row>
    <row r="267" spans="1:21">
      <c r="A267" s="19" t="s">
        <v>568</v>
      </c>
      <c r="B267" s="19" t="s">
        <v>26</v>
      </c>
      <c r="C267" s="19" t="s">
        <v>6</v>
      </c>
      <c r="D267" s="19" t="s">
        <v>31</v>
      </c>
      <c r="E267" s="20">
        <v>45641</v>
      </c>
      <c r="F267" s="19" t="s">
        <v>569</v>
      </c>
      <c r="G267" s="20">
        <v>45438</v>
      </c>
      <c r="H267" s="19" t="s">
        <v>62</v>
      </c>
      <c r="I267" s="19" t="s">
        <v>37</v>
      </c>
      <c r="J267" s="19" t="s">
        <v>11</v>
      </c>
      <c r="K267" s="19">
        <v>5</v>
      </c>
      <c r="L267" s="37">
        <v>752.84</v>
      </c>
      <c r="M267" s="19" t="s">
        <v>38</v>
      </c>
      <c r="N267" s="19">
        <v>14</v>
      </c>
      <c r="O267" s="20">
        <v>45673</v>
      </c>
      <c r="P267" s="19">
        <v>214</v>
      </c>
      <c r="Q267" s="19" t="s">
        <v>23</v>
      </c>
      <c r="R267" s="19">
        <v>4</v>
      </c>
      <c r="S267" s="20">
        <v>45804</v>
      </c>
      <c r="T267" s="19" t="s">
        <v>14</v>
      </c>
      <c r="U267" s="39">
        <f>Table1[[#This Row],[QUANTITY]]*Table1[[#This Row],[PRICE]]</f>
        <v>3764.2000000000003</v>
      </c>
    </row>
    <row r="268" spans="1:21">
      <c r="A268" s="19" t="s">
        <v>570</v>
      </c>
      <c r="B268" s="19" t="s">
        <v>26</v>
      </c>
      <c r="C268" s="19" t="s">
        <v>27</v>
      </c>
      <c r="D268" s="19" t="s">
        <v>7</v>
      </c>
      <c r="E268" s="20">
        <v>45347</v>
      </c>
      <c r="F268" s="19" t="s">
        <v>571</v>
      </c>
      <c r="G268" s="20">
        <v>45438</v>
      </c>
      <c r="H268" s="19" t="s">
        <v>29</v>
      </c>
      <c r="I268" s="19" t="s">
        <v>55</v>
      </c>
      <c r="J268" s="19" t="s">
        <v>11</v>
      </c>
      <c r="K268" s="19">
        <v>2</v>
      </c>
      <c r="L268" s="37">
        <v>200.73</v>
      </c>
      <c r="M268" s="19" t="s">
        <v>12</v>
      </c>
      <c r="N268" s="19">
        <v>49</v>
      </c>
      <c r="O268" s="20">
        <v>45723</v>
      </c>
      <c r="P268" s="19">
        <v>133</v>
      </c>
      <c r="Q268" s="19" t="s">
        <v>23</v>
      </c>
      <c r="S268" s="20">
        <v>45760</v>
      </c>
      <c r="T268" s="19" t="s">
        <v>24</v>
      </c>
      <c r="U268" s="39">
        <f>Table1[[#This Row],[QUANTITY]]*Table1[[#This Row],[PRICE]]</f>
        <v>401.46</v>
      </c>
    </row>
    <row r="269" spans="1:21">
      <c r="A269" s="19" t="s">
        <v>572</v>
      </c>
      <c r="B269" s="19" t="s">
        <v>26</v>
      </c>
      <c r="C269" s="19" t="s">
        <v>6</v>
      </c>
      <c r="D269" s="19" t="s">
        <v>17</v>
      </c>
      <c r="E269" s="20">
        <v>45225</v>
      </c>
      <c r="F269" s="19" t="s">
        <v>573</v>
      </c>
      <c r="G269" s="20">
        <v>45438</v>
      </c>
      <c r="H269" s="19" t="s">
        <v>19</v>
      </c>
      <c r="I269" s="19" t="s">
        <v>55</v>
      </c>
      <c r="J269" s="19" t="s">
        <v>41</v>
      </c>
      <c r="K269" s="19">
        <v>3</v>
      </c>
      <c r="L269" s="37">
        <v>259.02</v>
      </c>
      <c r="M269" s="19" t="s">
        <v>38</v>
      </c>
      <c r="N269" s="19">
        <v>13</v>
      </c>
      <c r="O269" s="20">
        <v>45767</v>
      </c>
      <c r="P269" s="19">
        <v>77</v>
      </c>
      <c r="Q269" s="19" t="s">
        <v>13</v>
      </c>
      <c r="S269" s="20">
        <v>45795</v>
      </c>
      <c r="T269" s="19" t="s">
        <v>24</v>
      </c>
      <c r="U269" s="39">
        <f>Table1[[#This Row],[QUANTITY]]*Table1[[#This Row],[PRICE]]</f>
        <v>777.06</v>
      </c>
    </row>
    <row r="270" spans="1:21">
      <c r="A270" s="19" t="s">
        <v>574</v>
      </c>
      <c r="B270" s="19" t="s">
        <v>26</v>
      </c>
      <c r="C270" s="19" t="s">
        <v>27</v>
      </c>
      <c r="D270" s="19" t="s">
        <v>31</v>
      </c>
      <c r="E270" s="20">
        <v>45889</v>
      </c>
      <c r="F270" s="19" t="s">
        <v>575</v>
      </c>
      <c r="G270" s="20">
        <v>45439</v>
      </c>
      <c r="H270" s="19" t="s">
        <v>62</v>
      </c>
      <c r="I270" s="19" t="s">
        <v>51</v>
      </c>
      <c r="J270" s="19" t="s">
        <v>11</v>
      </c>
      <c r="K270" s="19">
        <v>3</v>
      </c>
      <c r="L270" s="37">
        <v>1452.02</v>
      </c>
      <c r="M270" s="19" t="s">
        <v>22</v>
      </c>
      <c r="N270" s="19">
        <v>3</v>
      </c>
      <c r="O270" s="20">
        <v>45710</v>
      </c>
      <c r="P270" s="19">
        <v>452</v>
      </c>
      <c r="Q270" s="19" t="s">
        <v>13</v>
      </c>
      <c r="S270" s="20">
        <v>45757</v>
      </c>
      <c r="T270" s="19" t="s">
        <v>24</v>
      </c>
      <c r="U270" s="39">
        <f>Table1[[#This Row],[QUANTITY]]*Table1[[#This Row],[PRICE]]</f>
        <v>4356.0599999999995</v>
      </c>
    </row>
    <row r="271" spans="1:21">
      <c r="A271" s="19" t="s">
        <v>576</v>
      </c>
      <c r="B271" s="19" t="s">
        <v>26</v>
      </c>
      <c r="C271" s="19" t="s">
        <v>16</v>
      </c>
      <c r="D271" s="19" t="s">
        <v>70</v>
      </c>
      <c r="E271" s="20">
        <v>45616</v>
      </c>
      <c r="F271" s="19" t="s">
        <v>577</v>
      </c>
      <c r="G271" s="20">
        <v>45439</v>
      </c>
      <c r="H271" s="19" t="s">
        <v>62</v>
      </c>
      <c r="I271" s="19" t="s">
        <v>51</v>
      </c>
      <c r="J271" s="19" t="s">
        <v>41</v>
      </c>
      <c r="K271" s="19">
        <v>3</v>
      </c>
      <c r="L271" s="37">
        <v>1451.36</v>
      </c>
      <c r="M271" s="19" t="s">
        <v>12</v>
      </c>
      <c r="N271" s="19">
        <v>19</v>
      </c>
      <c r="O271" s="20">
        <v>45740</v>
      </c>
      <c r="P271" s="19">
        <v>268</v>
      </c>
      <c r="Q271" s="19" t="s">
        <v>23</v>
      </c>
      <c r="S271" s="20">
        <v>45671</v>
      </c>
      <c r="T271" s="19" t="s">
        <v>24</v>
      </c>
      <c r="U271" s="39">
        <f>Table1[[#This Row],[QUANTITY]]*Table1[[#This Row],[PRICE]]</f>
        <v>4354.08</v>
      </c>
    </row>
    <row r="272" spans="1:21">
      <c r="A272" s="19" t="s">
        <v>578</v>
      </c>
      <c r="B272" s="19" t="s">
        <v>26</v>
      </c>
      <c r="C272" s="19" t="s">
        <v>27</v>
      </c>
      <c r="D272" s="19" t="s">
        <v>17</v>
      </c>
      <c r="E272" s="20">
        <v>45182</v>
      </c>
      <c r="F272" s="19" t="s">
        <v>579</v>
      </c>
      <c r="G272" s="20">
        <v>45439</v>
      </c>
      <c r="H272" s="19" t="s">
        <v>29</v>
      </c>
      <c r="I272" s="19" t="s">
        <v>51</v>
      </c>
      <c r="J272" s="19" t="s">
        <v>11</v>
      </c>
      <c r="K272" s="19">
        <v>5</v>
      </c>
      <c r="L272" s="37">
        <v>295.02999999999997</v>
      </c>
      <c r="M272" s="19" t="s">
        <v>22</v>
      </c>
      <c r="N272" s="19">
        <v>37</v>
      </c>
      <c r="O272" s="20">
        <v>45727</v>
      </c>
      <c r="P272" s="19">
        <v>81</v>
      </c>
      <c r="Q272" s="19" t="s">
        <v>23</v>
      </c>
      <c r="R272" s="19">
        <v>4</v>
      </c>
      <c r="S272" s="20">
        <v>45640</v>
      </c>
      <c r="T272" s="19" t="s">
        <v>34</v>
      </c>
      <c r="U272" s="39">
        <f>Table1[[#This Row],[QUANTITY]]*Table1[[#This Row],[PRICE]]</f>
        <v>1475.1499999999999</v>
      </c>
    </row>
    <row r="273" spans="1:21">
      <c r="A273" s="19" t="s">
        <v>580</v>
      </c>
      <c r="B273" s="19" t="s">
        <v>5</v>
      </c>
      <c r="C273" s="19" t="s">
        <v>6</v>
      </c>
      <c r="D273" s="19" t="s">
        <v>7</v>
      </c>
      <c r="E273" s="20">
        <v>45657</v>
      </c>
      <c r="F273" s="19" t="s">
        <v>581</v>
      </c>
      <c r="G273" s="20">
        <v>45439</v>
      </c>
      <c r="H273" s="19" t="s">
        <v>9</v>
      </c>
      <c r="I273" s="19" t="s">
        <v>51</v>
      </c>
      <c r="J273" s="19" t="s">
        <v>33</v>
      </c>
      <c r="K273" s="19">
        <v>5</v>
      </c>
      <c r="L273" s="37">
        <v>1262.52</v>
      </c>
      <c r="M273" s="19" t="s">
        <v>12</v>
      </c>
      <c r="N273" s="19">
        <v>8</v>
      </c>
      <c r="O273" s="20">
        <v>45848</v>
      </c>
      <c r="P273" s="19">
        <v>309</v>
      </c>
      <c r="Q273" s="19" t="s">
        <v>13</v>
      </c>
      <c r="R273" s="19">
        <v>5</v>
      </c>
      <c r="S273" s="20">
        <v>45888</v>
      </c>
      <c r="T273" s="19" t="s">
        <v>34</v>
      </c>
      <c r="U273" s="39">
        <f>Table1[[#This Row],[QUANTITY]]*Table1[[#This Row],[PRICE]]</f>
        <v>6312.6</v>
      </c>
    </row>
    <row r="274" spans="1:21">
      <c r="A274" s="19" t="s">
        <v>582</v>
      </c>
      <c r="B274" s="19" t="s">
        <v>46</v>
      </c>
      <c r="C274" s="19" t="s">
        <v>6</v>
      </c>
      <c r="D274" s="19" t="s">
        <v>17</v>
      </c>
      <c r="E274" s="20">
        <v>45488</v>
      </c>
      <c r="F274" s="19" t="s">
        <v>583</v>
      </c>
      <c r="G274" s="20">
        <v>45439</v>
      </c>
      <c r="H274" s="19" t="s">
        <v>44</v>
      </c>
      <c r="I274" s="19" t="s">
        <v>37</v>
      </c>
      <c r="J274" s="19" t="s">
        <v>48</v>
      </c>
      <c r="K274" s="19">
        <v>2</v>
      </c>
      <c r="L274" s="37">
        <v>1030.8</v>
      </c>
      <c r="M274" s="19" t="s">
        <v>38</v>
      </c>
      <c r="N274" s="19">
        <v>27</v>
      </c>
      <c r="O274" s="20">
        <v>45815</v>
      </c>
      <c r="P274" s="19">
        <v>112</v>
      </c>
      <c r="Q274" s="19" t="s">
        <v>23</v>
      </c>
      <c r="R274" s="19">
        <v>3</v>
      </c>
      <c r="S274" s="20">
        <v>45740</v>
      </c>
      <c r="T274" s="19" t="s">
        <v>34</v>
      </c>
      <c r="U274" s="39">
        <f>Table1[[#This Row],[QUANTITY]]*Table1[[#This Row],[PRICE]]</f>
        <v>2061.6</v>
      </c>
    </row>
    <row r="275" spans="1:21">
      <c r="A275" s="19" t="s">
        <v>584</v>
      </c>
      <c r="B275" s="19" t="s">
        <v>46</v>
      </c>
      <c r="C275" s="19" t="s">
        <v>16</v>
      </c>
      <c r="D275" s="19" t="s">
        <v>7</v>
      </c>
      <c r="E275" s="20">
        <v>45788</v>
      </c>
      <c r="F275" s="19" t="s">
        <v>585</v>
      </c>
      <c r="G275" s="20">
        <v>45439</v>
      </c>
      <c r="H275" s="19" t="s">
        <v>44</v>
      </c>
      <c r="I275" s="19" t="s">
        <v>37</v>
      </c>
      <c r="J275" s="19" t="s">
        <v>21</v>
      </c>
      <c r="K275" s="19">
        <v>1</v>
      </c>
      <c r="L275" s="37">
        <v>1357.27</v>
      </c>
      <c r="M275" s="19" t="s">
        <v>22</v>
      </c>
      <c r="N275" s="19">
        <v>32</v>
      </c>
      <c r="O275" s="20">
        <v>45768</v>
      </c>
      <c r="P275" s="19">
        <v>361</v>
      </c>
      <c r="Q275" s="19" t="s">
        <v>23</v>
      </c>
      <c r="R275" s="19">
        <v>4</v>
      </c>
      <c r="S275" s="20">
        <v>45804</v>
      </c>
      <c r="T275" s="19" t="s">
        <v>34</v>
      </c>
      <c r="U275" s="39">
        <f>Table1[[#This Row],[QUANTITY]]*Table1[[#This Row],[PRICE]]</f>
        <v>1357.27</v>
      </c>
    </row>
    <row r="276" spans="1:21">
      <c r="A276" s="19" t="s">
        <v>586</v>
      </c>
      <c r="B276" s="19" t="s">
        <v>46</v>
      </c>
      <c r="C276" s="19" t="s">
        <v>16</v>
      </c>
      <c r="D276" s="19" t="s">
        <v>53</v>
      </c>
      <c r="E276" s="20">
        <v>45575</v>
      </c>
      <c r="F276" s="19" t="s">
        <v>587</v>
      </c>
      <c r="G276" s="20">
        <v>45439</v>
      </c>
      <c r="H276" s="19" t="s">
        <v>29</v>
      </c>
      <c r="I276" s="19" t="s">
        <v>51</v>
      </c>
      <c r="J276" s="19" t="s">
        <v>11</v>
      </c>
      <c r="K276" s="19">
        <v>2</v>
      </c>
      <c r="L276" s="37">
        <v>787.5</v>
      </c>
      <c r="M276" s="19" t="s">
        <v>12</v>
      </c>
      <c r="N276" s="19">
        <v>7</v>
      </c>
      <c r="O276" s="20">
        <v>45801</v>
      </c>
      <c r="P276" s="19">
        <v>36</v>
      </c>
      <c r="Q276" s="19" t="s">
        <v>13</v>
      </c>
      <c r="R276" s="19">
        <v>2</v>
      </c>
      <c r="S276" s="20">
        <v>45592</v>
      </c>
      <c r="T276" s="19" t="s">
        <v>34</v>
      </c>
      <c r="U276" s="39">
        <f>Table1[[#This Row],[QUANTITY]]*Table1[[#This Row],[PRICE]]</f>
        <v>1575</v>
      </c>
    </row>
    <row r="277" spans="1:21">
      <c r="A277" s="19" t="s">
        <v>588</v>
      </c>
      <c r="B277" s="19" t="s">
        <v>46</v>
      </c>
      <c r="C277" s="19" t="s">
        <v>16</v>
      </c>
      <c r="D277" s="19" t="s">
        <v>17</v>
      </c>
      <c r="E277" s="20">
        <v>45831</v>
      </c>
      <c r="F277" s="19" t="s">
        <v>589</v>
      </c>
      <c r="G277" s="20">
        <v>45439</v>
      </c>
      <c r="H277" s="19" t="s">
        <v>19</v>
      </c>
      <c r="I277" s="19" t="s">
        <v>37</v>
      </c>
      <c r="J277" s="19" t="s">
        <v>41</v>
      </c>
      <c r="K277" s="19">
        <v>5</v>
      </c>
      <c r="L277" s="37">
        <v>138.13</v>
      </c>
      <c r="M277" s="19" t="s">
        <v>38</v>
      </c>
      <c r="N277" s="19">
        <v>41</v>
      </c>
      <c r="O277" s="20">
        <v>45605</v>
      </c>
      <c r="P277" s="19">
        <v>9</v>
      </c>
      <c r="Q277" s="19" t="s">
        <v>23</v>
      </c>
      <c r="R277" s="19">
        <v>3</v>
      </c>
      <c r="S277" s="20">
        <v>45667</v>
      </c>
      <c r="T277" s="19" t="s">
        <v>14</v>
      </c>
      <c r="U277" s="39">
        <f>Table1[[#This Row],[QUANTITY]]*Table1[[#This Row],[PRICE]]</f>
        <v>690.65</v>
      </c>
    </row>
    <row r="278" spans="1:21">
      <c r="A278" s="19" t="s">
        <v>590</v>
      </c>
      <c r="B278" s="19" t="s">
        <v>26</v>
      </c>
      <c r="C278" s="19" t="s">
        <v>6</v>
      </c>
      <c r="D278" s="19" t="s">
        <v>70</v>
      </c>
      <c r="E278" s="20">
        <v>45268</v>
      </c>
      <c r="F278" s="19" t="s">
        <v>591</v>
      </c>
      <c r="G278" s="20">
        <v>45440</v>
      </c>
      <c r="H278" s="19" t="s">
        <v>62</v>
      </c>
      <c r="I278" s="19" t="s">
        <v>20</v>
      </c>
      <c r="J278" s="19" t="s">
        <v>11</v>
      </c>
      <c r="K278" s="19">
        <v>5</v>
      </c>
      <c r="L278" s="37">
        <v>1147.95</v>
      </c>
      <c r="M278" s="19" t="s">
        <v>38</v>
      </c>
      <c r="N278" s="19">
        <v>50</v>
      </c>
      <c r="O278" s="20">
        <v>45657</v>
      </c>
      <c r="P278" s="19">
        <v>163</v>
      </c>
      <c r="Q278" s="19" t="s">
        <v>13</v>
      </c>
      <c r="R278" s="19">
        <v>5</v>
      </c>
      <c r="S278" s="20">
        <v>45613</v>
      </c>
      <c r="T278" s="19" t="s">
        <v>14</v>
      </c>
      <c r="U278" s="39">
        <f>Table1[[#This Row],[QUANTITY]]*Table1[[#This Row],[PRICE]]</f>
        <v>5739.75</v>
      </c>
    </row>
    <row r="279" spans="1:21">
      <c r="A279" s="19" t="s">
        <v>592</v>
      </c>
      <c r="B279" s="19" t="s">
        <v>46</v>
      </c>
      <c r="C279" s="19" t="s">
        <v>16</v>
      </c>
      <c r="D279" s="19" t="s">
        <v>31</v>
      </c>
      <c r="E279" s="20">
        <v>45473</v>
      </c>
      <c r="F279" s="19" t="s">
        <v>593</v>
      </c>
      <c r="G279" s="20">
        <v>45440</v>
      </c>
      <c r="H279" s="19" t="s">
        <v>19</v>
      </c>
      <c r="I279" s="19" t="s">
        <v>51</v>
      </c>
      <c r="J279" s="19" t="s">
        <v>48</v>
      </c>
      <c r="K279" s="19">
        <v>5</v>
      </c>
      <c r="L279" s="37">
        <v>509.22</v>
      </c>
      <c r="M279" s="19" t="s">
        <v>22</v>
      </c>
      <c r="N279" s="19">
        <v>21</v>
      </c>
      <c r="O279" s="20">
        <v>45871</v>
      </c>
      <c r="P279" s="19">
        <v>156</v>
      </c>
      <c r="Q279" s="19" t="s">
        <v>13</v>
      </c>
      <c r="R279" s="19">
        <v>3</v>
      </c>
      <c r="S279" s="20">
        <v>45553</v>
      </c>
      <c r="T279" s="19" t="s">
        <v>14</v>
      </c>
      <c r="U279" s="39">
        <f>Table1[[#This Row],[QUANTITY]]*Table1[[#This Row],[PRICE]]</f>
        <v>2546.1000000000004</v>
      </c>
    </row>
    <row r="280" spans="1:21">
      <c r="A280" s="19" t="s">
        <v>594</v>
      </c>
      <c r="B280" s="19" t="s">
        <v>26</v>
      </c>
      <c r="C280" s="19" t="s">
        <v>27</v>
      </c>
      <c r="D280" s="19" t="s">
        <v>7</v>
      </c>
      <c r="E280" s="20">
        <v>45225</v>
      </c>
      <c r="F280" s="19" t="s">
        <v>595</v>
      </c>
      <c r="G280" s="20">
        <v>45440</v>
      </c>
      <c r="H280" s="19" t="s">
        <v>62</v>
      </c>
      <c r="I280" s="19" t="s">
        <v>37</v>
      </c>
      <c r="J280" s="19" t="s">
        <v>11</v>
      </c>
      <c r="K280" s="19">
        <v>5</v>
      </c>
      <c r="L280" s="37">
        <v>342.85</v>
      </c>
      <c r="M280" s="19" t="s">
        <v>38</v>
      </c>
      <c r="N280" s="19">
        <v>16</v>
      </c>
      <c r="O280" s="20">
        <v>45837</v>
      </c>
      <c r="P280" s="19">
        <v>112</v>
      </c>
      <c r="Q280" s="19" t="s">
        <v>13</v>
      </c>
      <c r="R280" s="19">
        <v>3</v>
      </c>
      <c r="S280" s="20">
        <v>45719</v>
      </c>
      <c r="T280" s="19" t="s">
        <v>34</v>
      </c>
      <c r="U280" s="39">
        <f>Table1[[#This Row],[QUANTITY]]*Table1[[#This Row],[PRICE]]</f>
        <v>1714.25</v>
      </c>
    </row>
    <row r="281" spans="1:21">
      <c r="A281" s="19" t="s">
        <v>596</v>
      </c>
      <c r="B281" s="19" t="s">
        <v>26</v>
      </c>
      <c r="C281" s="19" t="s">
        <v>6</v>
      </c>
      <c r="D281" s="19" t="s">
        <v>31</v>
      </c>
      <c r="E281" s="20">
        <v>45434</v>
      </c>
      <c r="F281" s="19" t="s">
        <v>597</v>
      </c>
      <c r="G281" s="20">
        <v>45440</v>
      </c>
      <c r="H281" s="19" t="s">
        <v>29</v>
      </c>
      <c r="I281" s="19" t="s">
        <v>37</v>
      </c>
      <c r="J281" s="19" t="s">
        <v>21</v>
      </c>
      <c r="K281" s="19">
        <v>1</v>
      </c>
      <c r="L281" s="37">
        <v>879.11</v>
      </c>
      <c r="M281" s="19" t="s">
        <v>38</v>
      </c>
      <c r="N281" s="19">
        <v>31</v>
      </c>
      <c r="O281" s="20">
        <v>45872</v>
      </c>
      <c r="P281" s="19">
        <v>301</v>
      </c>
      <c r="Q281" s="19" t="s">
        <v>13</v>
      </c>
      <c r="R281" s="19">
        <v>3</v>
      </c>
      <c r="S281" s="20">
        <v>45852</v>
      </c>
      <c r="T281" s="19" t="s">
        <v>34</v>
      </c>
      <c r="U281" s="39">
        <f>Table1[[#This Row],[QUANTITY]]*Table1[[#This Row],[PRICE]]</f>
        <v>879.11</v>
      </c>
    </row>
    <row r="282" spans="1:21">
      <c r="A282" s="19" t="s">
        <v>598</v>
      </c>
      <c r="B282" s="19" t="s">
        <v>26</v>
      </c>
      <c r="C282" s="19" t="s">
        <v>6</v>
      </c>
      <c r="D282" s="19" t="s">
        <v>70</v>
      </c>
      <c r="E282" s="20">
        <v>45561</v>
      </c>
      <c r="F282" s="19" t="s">
        <v>599</v>
      </c>
      <c r="G282" s="20">
        <v>45440</v>
      </c>
      <c r="H282" s="19" t="s">
        <v>19</v>
      </c>
      <c r="I282" s="19" t="s">
        <v>51</v>
      </c>
      <c r="J282" s="19" t="s">
        <v>11</v>
      </c>
      <c r="K282" s="19">
        <v>1</v>
      </c>
      <c r="L282" s="37">
        <v>1281.95</v>
      </c>
      <c r="M282" s="19" t="s">
        <v>12</v>
      </c>
      <c r="N282" s="19">
        <v>9</v>
      </c>
      <c r="O282" s="20">
        <v>45824</v>
      </c>
      <c r="P282" s="19">
        <v>174</v>
      </c>
      <c r="Q282" s="19" t="s">
        <v>23</v>
      </c>
      <c r="R282" s="19">
        <v>2</v>
      </c>
      <c r="S282" s="20">
        <v>45655</v>
      </c>
      <c r="T282" s="19" t="s">
        <v>34</v>
      </c>
      <c r="U282" s="39">
        <f>Table1[[#This Row],[QUANTITY]]*Table1[[#This Row],[PRICE]]</f>
        <v>1281.95</v>
      </c>
    </row>
    <row r="283" spans="1:21">
      <c r="A283" s="19" t="s">
        <v>600</v>
      </c>
      <c r="B283" s="19" t="s">
        <v>46</v>
      </c>
      <c r="C283" s="19" t="s">
        <v>16</v>
      </c>
      <c r="D283" s="19" t="s">
        <v>31</v>
      </c>
      <c r="E283" s="20">
        <v>45601</v>
      </c>
      <c r="F283" s="19" t="s">
        <v>601</v>
      </c>
      <c r="G283" s="20">
        <v>45441</v>
      </c>
      <c r="H283" s="19" t="s">
        <v>62</v>
      </c>
      <c r="I283" s="19" t="s">
        <v>37</v>
      </c>
      <c r="J283" s="19" t="s">
        <v>48</v>
      </c>
      <c r="K283" s="19">
        <v>2</v>
      </c>
      <c r="L283" s="37">
        <v>341.76</v>
      </c>
      <c r="M283" s="19" t="s">
        <v>38</v>
      </c>
      <c r="N283" s="19">
        <v>18</v>
      </c>
      <c r="O283" s="20">
        <v>45760</v>
      </c>
      <c r="P283" s="19">
        <v>176</v>
      </c>
      <c r="Q283" s="19" t="s">
        <v>23</v>
      </c>
      <c r="S283" s="20">
        <v>45732</v>
      </c>
      <c r="T283" s="19" t="s">
        <v>24</v>
      </c>
      <c r="U283" s="39">
        <f>Table1[[#This Row],[QUANTITY]]*Table1[[#This Row],[PRICE]]</f>
        <v>683.52</v>
      </c>
    </row>
    <row r="284" spans="1:21">
      <c r="A284" s="19" t="s">
        <v>602</v>
      </c>
      <c r="B284" s="19" t="s">
        <v>46</v>
      </c>
      <c r="C284" s="19" t="s">
        <v>27</v>
      </c>
      <c r="D284" s="19" t="s">
        <v>17</v>
      </c>
      <c r="E284" s="20">
        <v>45696</v>
      </c>
      <c r="F284" s="19" t="s">
        <v>603</v>
      </c>
      <c r="G284" s="20">
        <v>45441</v>
      </c>
      <c r="H284" s="19" t="s">
        <v>62</v>
      </c>
      <c r="I284" s="19" t="s">
        <v>10</v>
      </c>
      <c r="J284" s="19" t="s">
        <v>11</v>
      </c>
      <c r="K284" s="19">
        <v>4</v>
      </c>
      <c r="L284" s="37">
        <v>1473.46</v>
      </c>
      <c r="M284" s="19" t="s">
        <v>22</v>
      </c>
      <c r="N284" s="19">
        <v>4</v>
      </c>
      <c r="O284" s="20">
        <v>45828</v>
      </c>
      <c r="P284" s="19">
        <v>20</v>
      </c>
      <c r="Q284" s="19" t="s">
        <v>23</v>
      </c>
      <c r="R284" s="19">
        <v>5</v>
      </c>
      <c r="S284" s="20">
        <v>45734</v>
      </c>
      <c r="T284" s="19" t="s">
        <v>14</v>
      </c>
      <c r="U284" s="39">
        <f>Table1[[#This Row],[QUANTITY]]*Table1[[#This Row],[PRICE]]</f>
        <v>5893.84</v>
      </c>
    </row>
    <row r="285" spans="1:21">
      <c r="A285" s="19" t="s">
        <v>604</v>
      </c>
      <c r="B285" s="19" t="s">
        <v>26</v>
      </c>
      <c r="C285" s="19" t="s">
        <v>27</v>
      </c>
      <c r="D285" s="19" t="s">
        <v>31</v>
      </c>
      <c r="E285" s="20">
        <v>45671</v>
      </c>
      <c r="F285" s="19" t="s">
        <v>605</v>
      </c>
      <c r="G285" s="20">
        <v>45441</v>
      </c>
      <c r="H285" s="19" t="s">
        <v>44</v>
      </c>
      <c r="I285" s="19" t="s">
        <v>10</v>
      </c>
      <c r="J285" s="19" t="s">
        <v>41</v>
      </c>
      <c r="K285" s="19">
        <v>1</v>
      </c>
      <c r="L285" s="37">
        <v>1420.56</v>
      </c>
      <c r="M285" s="19" t="s">
        <v>38</v>
      </c>
      <c r="N285" s="19">
        <v>27</v>
      </c>
      <c r="O285" s="20">
        <v>45811</v>
      </c>
      <c r="P285" s="19">
        <v>346</v>
      </c>
      <c r="Q285" s="19" t="s">
        <v>13</v>
      </c>
      <c r="R285" s="19">
        <v>3</v>
      </c>
      <c r="S285" s="20">
        <v>45661</v>
      </c>
      <c r="T285" s="19" t="s">
        <v>34</v>
      </c>
      <c r="U285" s="39">
        <f>Table1[[#This Row],[QUANTITY]]*Table1[[#This Row],[PRICE]]</f>
        <v>1420.56</v>
      </c>
    </row>
    <row r="286" spans="1:21">
      <c r="A286" s="19" t="s">
        <v>606</v>
      </c>
      <c r="B286" s="19" t="s">
        <v>26</v>
      </c>
      <c r="C286" s="19" t="s">
        <v>6</v>
      </c>
      <c r="D286" s="19" t="s">
        <v>53</v>
      </c>
      <c r="E286" s="20">
        <v>45668</v>
      </c>
      <c r="F286" s="19" t="s">
        <v>607</v>
      </c>
      <c r="G286" s="20">
        <v>45442</v>
      </c>
      <c r="H286" s="19" t="s">
        <v>9</v>
      </c>
      <c r="I286" s="19" t="s">
        <v>10</v>
      </c>
      <c r="J286" s="19" t="s">
        <v>41</v>
      </c>
      <c r="K286" s="19">
        <v>5</v>
      </c>
      <c r="L286" s="37">
        <v>923.04</v>
      </c>
      <c r="M286" s="19" t="s">
        <v>12</v>
      </c>
      <c r="N286" s="19">
        <v>21</v>
      </c>
      <c r="O286" s="20">
        <v>45769</v>
      </c>
      <c r="P286" s="19">
        <v>311</v>
      </c>
      <c r="Q286" s="19" t="s">
        <v>23</v>
      </c>
      <c r="R286" s="19">
        <v>2</v>
      </c>
      <c r="S286" s="20">
        <v>45558</v>
      </c>
      <c r="T286" s="19" t="s">
        <v>14</v>
      </c>
      <c r="U286" s="39">
        <f>Table1[[#This Row],[QUANTITY]]*Table1[[#This Row],[PRICE]]</f>
        <v>4615.2</v>
      </c>
    </row>
    <row r="287" spans="1:21">
      <c r="A287" s="19" t="s">
        <v>608</v>
      </c>
      <c r="B287" s="19" t="s">
        <v>5</v>
      </c>
      <c r="C287" s="19" t="s">
        <v>27</v>
      </c>
      <c r="D287" s="19" t="s">
        <v>7</v>
      </c>
      <c r="E287" s="20">
        <v>45528</v>
      </c>
      <c r="F287" s="19" t="s">
        <v>609</v>
      </c>
      <c r="G287" s="20">
        <v>45442</v>
      </c>
      <c r="H287" s="19" t="s">
        <v>19</v>
      </c>
      <c r="I287" s="19" t="s">
        <v>37</v>
      </c>
      <c r="J287" s="19" t="s">
        <v>33</v>
      </c>
      <c r="K287" s="19">
        <v>4</v>
      </c>
      <c r="L287" s="37">
        <v>1091.23</v>
      </c>
      <c r="M287" s="19" t="s">
        <v>12</v>
      </c>
      <c r="N287" s="19">
        <v>2</v>
      </c>
      <c r="O287" s="20">
        <v>45695</v>
      </c>
      <c r="P287" s="19">
        <v>256</v>
      </c>
      <c r="Q287" s="19" t="s">
        <v>23</v>
      </c>
      <c r="S287" s="20">
        <v>45786</v>
      </c>
      <c r="T287" s="19" t="s">
        <v>24</v>
      </c>
      <c r="U287" s="39">
        <f>Table1[[#This Row],[QUANTITY]]*Table1[[#This Row],[PRICE]]</f>
        <v>4364.92</v>
      </c>
    </row>
    <row r="288" spans="1:21">
      <c r="A288" s="19" t="s">
        <v>610</v>
      </c>
      <c r="B288" s="19" t="s">
        <v>26</v>
      </c>
      <c r="C288" s="19" t="s">
        <v>16</v>
      </c>
      <c r="D288" s="19" t="s">
        <v>70</v>
      </c>
      <c r="E288" s="20">
        <v>45569</v>
      </c>
      <c r="F288" s="19" t="s">
        <v>611</v>
      </c>
      <c r="G288" s="20">
        <v>45442</v>
      </c>
      <c r="H288" s="19" t="s">
        <v>44</v>
      </c>
      <c r="I288" s="19" t="s">
        <v>37</v>
      </c>
      <c r="J288" s="19" t="s">
        <v>48</v>
      </c>
      <c r="K288" s="19">
        <v>4</v>
      </c>
      <c r="L288" s="37">
        <v>326.83999999999997</v>
      </c>
      <c r="M288" s="19" t="s">
        <v>38</v>
      </c>
      <c r="N288" s="19">
        <v>35</v>
      </c>
      <c r="O288" s="20">
        <v>45727</v>
      </c>
      <c r="P288" s="19">
        <v>51</v>
      </c>
      <c r="Q288" s="19" t="s">
        <v>23</v>
      </c>
      <c r="R288" s="19">
        <v>4</v>
      </c>
      <c r="S288" s="20">
        <v>45882</v>
      </c>
      <c r="T288" s="19" t="s">
        <v>34</v>
      </c>
      <c r="U288" s="39">
        <f>Table1[[#This Row],[QUANTITY]]*Table1[[#This Row],[PRICE]]</f>
        <v>1307.3599999999999</v>
      </c>
    </row>
    <row r="289" spans="1:21">
      <c r="A289" s="19" t="s">
        <v>612</v>
      </c>
      <c r="B289" s="19" t="s">
        <v>5</v>
      </c>
      <c r="C289" s="19" t="s">
        <v>27</v>
      </c>
      <c r="D289" s="19" t="s">
        <v>53</v>
      </c>
      <c r="E289" s="20">
        <v>45282</v>
      </c>
      <c r="F289" s="19" t="s">
        <v>613</v>
      </c>
      <c r="G289" s="20">
        <v>45442</v>
      </c>
      <c r="H289" s="19" t="s">
        <v>44</v>
      </c>
      <c r="I289" s="19" t="s">
        <v>10</v>
      </c>
      <c r="J289" s="19" t="s">
        <v>48</v>
      </c>
      <c r="K289" s="19">
        <v>1</v>
      </c>
      <c r="L289" s="37">
        <v>825.55</v>
      </c>
      <c r="M289" s="19" t="s">
        <v>38</v>
      </c>
      <c r="N289" s="19">
        <v>46</v>
      </c>
      <c r="O289" s="20">
        <v>45658</v>
      </c>
      <c r="P289" s="19">
        <v>451</v>
      </c>
      <c r="Q289" s="19" t="s">
        <v>23</v>
      </c>
      <c r="R289" s="19">
        <v>4</v>
      </c>
      <c r="S289" s="20">
        <v>45674</v>
      </c>
      <c r="T289" s="19" t="s">
        <v>34</v>
      </c>
      <c r="U289" s="39">
        <f>Table1[[#This Row],[QUANTITY]]*Table1[[#This Row],[PRICE]]</f>
        <v>825.55</v>
      </c>
    </row>
    <row r="290" spans="1:21">
      <c r="A290" s="19" t="s">
        <v>614</v>
      </c>
      <c r="B290" s="19" t="s">
        <v>26</v>
      </c>
      <c r="C290" s="19" t="s">
        <v>16</v>
      </c>
      <c r="D290" s="19" t="s">
        <v>53</v>
      </c>
      <c r="E290" s="20">
        <v>45540</v>
      </c>
      <c r="F290" s="19" t="s">
        <v>615</v>
      </c>
      <c r="G290" s="20">
        <v>45442</v>
      </c>
      <c r="H290" s="19" t="s">
        <v>62</v>
      </c>
      <c r="I290" s="19" t="s">
        <v>37</v>
      </c>
      <c r="J290" s="19" t="s">
        <v>11</v>
      </c>
      <c r="K290" s="19">
        <v>1</v>
      </c>
      <c r="L290" s="37">
        <v>1386.29</v>
      </c>
      <c r="M290" s="19" t="s">
        <v>38</v>
      </c>
      <c r="N290" s="19">
        <v>34</v>
      </c>
      <c r="O290" s="20">
        <v>45603</v>
      </c>
      <c r="P290" s="19">
        <v>160</v>
      </c>
      <c r="Q290" s="19" t="s">
        <v>13</v>
      </c>
      <c r="R290" s="19">
        <v>5</v>
      </c>
      <c r="S290" s="20">
        <v>45703</v>
      </c>
      <c r="T290" s="19" t="s">
        <v>14</v>
      </c>
      <c r="U290" s="39">
        <f>Table1[[#This Row],[QUANTITY]]*Table1[[#This Row],[PRICE]]</f>
        <v>1386.29</v>
      </c>
    </row>
    <row r="291" spans="1:21">
      <c r="A291" s="19" t="s">
        <v>616</v>
      </c>
      <c r="B291" s="19" t="s">
        <v>46</v>
      </c>
      <c r="C291" s="19" t="s">
        <v>16</v>
      </c>
      <c r="D291" s="19" t="s">
        <v>31</v>
      </c>
      <c r="E291" s="20">
        <v>45356</v>
      </c>
      <c r="F291" s="19" t="s">
        <v>617</v>
      </c>
      <c r="G291" s="20">
        <v>45442</v>
      </c>
      <c r="H291" s="19" t="s">
        <v>29</v>
      </c>
      <c r="I291" s="19" t="s">
        <v>10</v>
      </c>
      <c r="J291" s="19" t="s">
        <v>21</v>
      </c>
      <c r="K291" s="19">
        <v>4</v>
      </c>
      <c r="L291" s="37">
        <v>787.98</v>
      </c>
      <c r="M291" s="19" t="s">
        <v>12</v>
      </c>
      <c r="N291" s="19">
        <v>37</v>
      </c>
      <c r="O291" s="20">
        <v>45723</v>
      </c>
      <c r="P291" s="19">
        <v>31</v>
      </c>
      <c r="Q291" s="19" t="s">
        <v>23</v>
      </c>
      <c r="S291" s="20">
        <v>45594</v>
      </c>
      <c r="T291" s="19" t="s">
        <v>24</v>
      </c>
      <c r="U291" s="39">
        <f>Table1[[#This Row],[QUANTITY]]*Table1[[#This Row],[PRICE]]</f>
        <v>3151.92</v>
      </c>
    </row>
    <row r="292" spans="1:21">
      <c r="A292" s="19" t="s">
        <v>618</v>
      </c>
      <c r="B292" s="19" t="s">
        <v>5</v>
      </c>
      <c r="C292" s="19" t="s">
        <v>6</v>
      </c>
      <c r="D292" s="19" t="s">
        <v>70</v>
      </c>
      <c r="E292" s="20">
        <v>45344</v>
      </c>
      <c r="F292" s="19" t="s">
        <v>619</v>
      </c>
      <c r="G292" s="20">
        <v>45442</v>
      </c>
      <c r="H292" s="19" t="s">
        <v>44</v>
      </c>
      <c r="I292" s="19" t="s">
        <v>37</v>
      </c>
      <c r="J292" s="19" t="s">
        <v>48</v>
      </c>
      <c r="K292" s="19">
        <v>5</v>
      </c>
      <c r="L292" s="37">
        <v>538.88</v>
      </c>
      <c r="M292" s="19" t="s">
        <v>22</v>
      </c>
      <c r="N292" s="19">
        <v>22</v>
      </c>
      <c r="O292" s="20">
        <v>45579</v>
      </c>
      <c r="P292" s="19">
        <v>243</v>
      </c>
      <c r="Q292" s="19" t="s">
        <v>13</v>
      </c>
      <c r="S292" s="20">
        <v>45532</v>
      </c>
      <c r="T292" s="19" t="s">
        <v>24</v>
      </c>
      <c r="U292" s="39">
        <f>Table1[[#This Row],[QUANTITY]]*Table1[[#This Row],[PRICE]]</f>
        <v>2694.4</v>
      </c>
    </row>
    <row r="293" spans="1:21">
      <c r="A293" s="19" t="s">
        <v>620</v>
      </c>
      <c r="B293" s="19" t="s">
        <v>5</v>
      </c>
      <c r="C293" s="19" t="s">
        <v>6</v>
      </c>
      <c r="D293" s="19" t="s">
        <v>17</v>
      </c>
      <c r="E293" s="20">
        <v>45811</v>
      </c>
      <c r="F293" s="19" t="s">
        <v>621</v>
      </c>
      <c r="G293" s="20">
        <v>45442</v>
      </c>
      <c r="H293" s="19" t="s">
        <v>62</v>
      </c>
      <c r="I293" s="19" t="s">
        <v>20</v>
      </c>
      <c r="J293" s="19" t="s">
        <v>33</v>
      </c>
      <c r="K293" s="19">
        <v>4</v>
      </c>
      <c r="L293" s="37">
        <v>1438.37</v>
      </c>
      <c r="M293" s="19" t="s">
        <v>12</v>
      </c>
      <c r="N293" s="19">
        <v>1</v>
      </c>
      <c r="O293" s="20">
        <v>45859</v>
      </c>
      <c r="P293" s="19">
        <v>340</v>
      </c>
      <c r="Q293" s="19" t="s">
        <v>13</v>
      </c>
      <c r="R293" s="19">
        <v>5</v>
      </c>
      <c r="S293" s="20">
        <v>45726</v>
      </c>
      <c r="T293" s="19" t="s">
        <v>14</v>
      </c>
      <c r="U293" s="39">
        <f>Table1[[#This Row],[QUANTITY]]*Table1[[#This Row],[PRICE]]</f>
        <v>5753.48</v>
      </c>
    </row>
    <row r="294" spans="1:21">
      <c r="A294" s="19" t="s">
        <v>622</v>
      </c>
      <c r="B294" s="19" t="s">
        <v>5</v>
      </c>
      <c r="C294" s="19" t="s">
        <v>27</v>
      </c>
      <c r="D294" s="19" t="s">
        <v>53</v>
      </c>
      <c r="E294" s="20">
        <v>45808</v>
      </c>
      <c r="F294" s="19" t="s">
        <v>623</v>
      </c>
      <c r="G294" s="20">
        <v>45442</v>
      </c>
      <c r="H294" s="19" t="s">
        <v>62</v>
      </c>
      <c r="I294" s="19" t="s">
        <v>51</v>
      </c>
      <c r="J294" s="19" t="s">
        <v>41</v>
      </c>
      <c r="K294" s="19">
        <v>2</v>
      </c>
      <c r="L294" s="37">
        <v>539.77</v>
      </c>
      <c r="M294" s="19" t="s">
        <v>38</v>
      </c>
      <c r="N294" s="19">
        <v>45</v>
      </c>
      <c r="O294" s="20">
        <v>45773</v>
      </c>
      <c r="P294" s="19">
        <v>157</v>
      </c>
      <c r="Q294" s="19" t="s">
        <v>13</v>
      </c>
      <c r="S294" s="20">
        <v>45690</v>
      </c>
      <c r="T294" s="19" t="s">
        <v>24</v>
      </c>
      <c r="U294" s="39">
        <f>Table1[[#This Row],[QUANTITY]]*Table1[[#This Row],[PRICE]]</f>
        <v>1079.54</v>
      </c>
    </row>
    <row r="295" spans="1:21">
      <c r="A295" s="19" t="s">
        <v>624</v>
      </c>
      <c r="B295" s="19" t="s">
        <v>26</v>
      </c>
      <c r="C295" s="19" t="s">
        <v>6</v>
      </c>
      <c r="D295" s="19" t="s">
        <v>70</v>
      </c>
      <c r="E295" s="20">
        <v>45406</v>
      </c>
      <c r="F295" s="19" t="s">
        <v>625</v>
      </c>
      <c r="G295" s="20">
        <v>45442</v>
      </c>
      <c r="H295" s="19" t="s">
        <v>62</v>
      </c>
      <c r="I295" s="19" t="s">
        <v>10</v>
      </c>
      <c r="J295" s="19" t="s">
        <v>41</v>
      </c>
      <c r="K295" s="19">
        <v>4</v>
      </c>
      <c r="L295" s="37">
        <v>1007.79</v>
      </c>
      <c r="M295" s="19" t="s">
        <v>22</v>
      </c>
      <c r="N295" s="19">
        <v>5</v>
      </c>
      <c r="O295" s="20">
        <v>45585</v>
      </c>
      <c r="P295" s="19">
        <v>171</v>
      </c>
      <c r="Q295" s="19" t="s">
        <v>13</v>
      </c>
      <c r="R295" s="19">
        <v>1</v>
      </c>
      <c r="S295" s="20">
        <v>45637</v>
      </c>
      <c r="T295" s="19" t="s">
        <v>14</v>
      </c>
      <c r="U295" s="39">
        <f>Table1[[#This Row],[QUANTITY]]*Table1[[#This Row],[PRICE]]</f>
        <v>4031.16</v>
      </c>
    </row>
    <row r="296" spans="1:21">
      <c r="A296" s="19" t="s">
        <v>626</v>
      </c>
      <c r="B296" s="19" t="s">
        <v>5</v>
      </c>
      <c r="C296" s="19" t="s">
        <v>16</v>
      </c>
      <c r="D296" s="19" t="s">
        <v>53</v>
      </c>
      <c r="E296" s="20">
        <v>45681</v>
      </c>
      <c r="F296" s="19" t="s">
        <v>627</v>
      </c>
      <c r="G296" s="20">
        <v>45442</v>
      </c>
      <c r="H296" s="19" t="s">
        <v>9</v>
      </c>
      <c r="I296" s="19" t="s">
        <v>37</v>
      </c>
      <c r="J296" s="19" t="s">
        <v>48</v>
      </c>
      <c r="K296" s="19">
        <v>2</v>
      </c>
      <c r="L296" s="37">
        <v>1359.67</v>
      </c>
      <c r="M296" s="19" t="s">
        <v>38</v>
      </c>
      <c r="N296" s="19">
        <v>12</v>
      </c>
      <c r="O296" s="20">
        <v>45649</v>
      </c>
      <c r="P296" s="19">
        <v>153</v>
      </c>
      <c r="Q296" s="19" t="s">
        <v>23</v>
      </c>
      <c r="R296" s="19">
        <v>2</v>
      </c>
      <c r="S296" s="20">
        <v>45590</v>
      </c>
      <c r="T296" s="19" t="s">
        <v>14</v>
      </c>
      <c r="U296" s="39">
        <f>Table1[[#This Row],[QUANTITY]]*Table1[[#This Row],[PRICE]]</f>
        <v>2719.34</v>
      </c>
    </row>
    <row r="297" spans="1:21">
      <c r="A297" s="19" t="s">
        <v>628</v>
      </c>
      <c r="B297" s="19" t="s">
        <v>26</v>
      </c>
      <c r="C297" s="19" t="s">
        <v>27</v>
      </c>
      <c r="D297" s="19" t="s">
        <v>31</v>
      </c>
      <c r="E297" s="20">
        <v>45697</v>
      </c>
      <c r="F297" s="19" t="s">
        <v>629</v>
      </c>
      <c r="G297" s="20">
        <v>45442</v>
      </c>
      <c r="H297" s="19" t="s">
        <v>62</v>
      </c>
      <c r="I297" s="19" t="s">
        <v>20</v>
      </c>
      <c r="J297" s="19" t="s">
        <v>41</v>
      </c>
      <c r="K297" s="19">
        <v>3</v>
      </c>
      <c r="L297" s="37">
        <v>1405.04</v>
      </c>
      <c r="M297" s="19" t="s">
        <v>38</v>
      </c>
      <c r="N297" s="19">
        <v>33</v>
      </c>
      <c r="O297" s="20">
        <v>45635</v>
      </c>
      <c r="P297" s="19">
        <v>268</v>
      </c>
      <c r="Q297" s="19" t="s">
        <v>13</v>
      </c>
      <c r="S297" s="20">
        <v>45716</v>
      </c>
      <c r="T297" s="19" t="s">
        <v>24</v>
      </c>
      <c r="U297" s="39">
        <f>Table1[[#This Row],[QUANTITY]]*Table1[[#This Row],[PRICE]]</f>
        <v>4215.12</v>
      </c>
    </row>
    <row r="298" spans="1:21">
      <c r="A298" s="19" t="s">
        <v>630</v>
      </c>
      <c r="B298" s="19" t="s">
        <v>5</v>
      </c>
      <c r="C298" s="19" t="s">
        <v>16</v>
      </c>
      <c r="D298" s="19" t="s">
        <v>17</v>
      </c>
      <c r="E298" s="20">
        <v>45796</v>
      </c>
      <c r="F298" s="19" t="s">
        <v>631</v>
      </c>
      <c r="G298" s="20">
        <v>45443</v>
      </c>
      <c r="H298" s="19" t="s">
        <v>29</v>
      </c>
      <c r="I298" s="19" t="s">
        <v>20</v>
      </c>
      <c r="J298" s="19" t="s">
        <v>48</v>
      </c>
      <c r="K298" s="19">
        <v>5</v>
      </c>
      <c r="L298" s="37">
        <v>788.9</v>
      </c>
      <c r="M298" s="19" t="s">
        <v>38</v>
      </c>
      <c r="N298" s="19">
        <v>23</v>
      </c>
      <c r="O298" s="20">
        <v>45631</v>
      </c>
      <c r="P298" s="19">
        <v>73</v>
      </c>
      <c r="Q298" s="19" t="s">
        <v>23</v>
      </c>
      <c r="R298" s="19">
        <v>5</v>
      </c>
      <c r="S298" s="20">
        <v>45546</v>
      </c>
      <c r="T298" s="19" t="s">
        <v>34</v>
      </c>
      <c r="U298" s="39">
        <f>Table1[[#This Row],[QUANTITY]]*Table1[[#This Row],[PRICE]]</f>
        <v>3944.5</v>
      </c>
    </row>
    <row r="299" spans="1:21">
      <c r="A299" s="19" t="s">
        <v>632</v>
      </c>
      <c r="B299" s="19" t="s">
        <v>5</v>
      </c>
      <c r="C299" s="19" t="s">
        <v>6</v>
      </c>
      <c r="D299" s="19" t="s">
        <v>70</v>
      </c>
      <c r="E299" s="20">
        <v>45215</v>
      </c>
      <c r="F299" s="19" t="s">
        <v>633</v>
      </c>
      <c r="G299" s="20">
        <v>45443</v>
      </c>
      <c r="H299" s="19" t="s">
        <v>44</v>
      </c>
      <c r="I299" s="19" t="s">
        <v>10</v>
      </c>
      <c r="J299" s="19" t="s">
        <v>41</v>
      </c>
      <c r="K299" s="19">
        <v>1</v>
      </c>
      <c r="L299" s="37">
        <v>337.41</v>
      </c>
      <c r="M299" s="19" t="s">
        <v>12</v>
      </c>
      <c r="N299" s="19">
        <v>41</v>
      </c>
      <c r="O299" s="20">
        <v>45741</v>
      </c>
      <c r="P299" s="19">
        <v>55</v>
      </c>
      <c r="Q299" s="19" t="s">
        <v>23</v>
      </c>
      <c r="R299" s="19">
        <v>2</v>
      </c>
      <c r="S299" s="20">
        <v>45628</v>
      </c>
      <c r="T299" s="19" t="s">
        <v>14</v>
      </c>
      <c r="U299" s="39">
        <f>Table1[[#This Row],[QUANTITY]]*Table1[[#This Row],[PRICE]]</f>
        <v>337.41</v>
      </c>
    </row>
    <row r="300" spans="1:21">
      <c r="A300" s="19" t="s">
        <v>634</v>
      </c>
      <c r="B300" s="19" t="s">
        <v>5</v>
      </c>
      <c r="C300" s="19" t="s">
        <v>16</v>
      </c>
      <c r="D300" s="19" t="s">
        <v>31</v>
      </c>
      <c r="E300" s="20">
        <v>45856</v>
      </c>
      <c r="F300" s="19" t="s">
        <v>635</v>
      </c>
      <c r="G300" s="20">
        <v>45443</v>
      </c>
      <c r="H300" s="19" t="s">
        <v>29</v>
      </c>
      <c r="I300" s="19" t="s">
        <v>37</v>
      </c>
      <c r="J300" s="19" t="s">
        <v>48</v>
      </c>
      <c r="K300" s="19">
        <v>4</v>
      </c>
      <c r="L300" s="37">
        <v>290.37</v>
      </c>
      <c r="M300" s="19" t="s">
        <v>22</v>
      </c>
      <c r="N300" s="19">
        <v>24</v>
      </c>
      <c r="O300" s="20">
        <v>45759</v>
      </c>
      <c r="P300" s="19">
        <v>226</v>
      </c>
      <c r="Q300" s="19" t="s">
        <v>13</v>
      </c>
      <c r="R300" s="19">
        <v>2</v>
      </c>
      <c r="S300" s="20">
        <v>45888</v>
      </c>
      <c r="T300" s="19" t="s">
        <v>14</v>
      </c>
      <c r="U300" s="39">
        <f>Table1[[#This Row],[QUANTITY]]*Table1[[#This Row],[PRICE]]</f>
        <v>1161.48</v>
      </c>
    </row>
    <row r="301" spans="1:21">
      <c r="A301" s="19" t="s">
        <v>636</v>
      </c>
      <c r="B301" s="19" t="s">
        <v>26</v>
      </c>
      <c r="C301" s="19" t="s">
        <v>27</v>
      </c>
      <c r="D301" s="19" t="s">
        <v>53</v>
      </c>
      <c r="E301" s="20">
        <v>45521</v>
      </c>
      <c r="F301" s="19" t="s">
        <v>637</v>
      </c>
      <c r="G301" s="20">
        <v>45443</v>
      </c>
      <c r="H301" s="19" t="s">
        <v>62</v>
      </c>
      <c r="I301" s="19" t="s">
        <v>51</v>
      </c>
      <c r="J301" s="19" t="s">
        <v>33</v>
      </c>
      <c r="K301" s="19">
        <v>4</v>
      </c>
      <c r="L301" s="37">
        <v>719.53</v>
      </c>
      <c r="M301" s="19" t="s">
        <v>38</v>
      </c>
      <c r="N301" s="19">
        <v>10</v>
      </c>
      <c r="O301" s="20">
        <v>45617</v>
      </c>
      <c r="P301" s="19">
        <v>457</v>
      </c>
      <c r="Q301" s="19" t="s">
        <v>23</v>
      </c>
      <c r="S301" s="20">
        <v>45704</v>
      </c>
      <c r="T301" s="19" t="s">
        <v>24</v>
      </c>
      <c r="U301" s="39">
        <f>Table1[[#This Row],[QUANTITY]]*Table1[[#This Row],[PRICE]]</f>
        <v>2878.12</v>
      </c>
    </row>
    <row r="302" spans="1:21">
      <c r="A302" s="19" t="s">
        <v>638</v>
      </c>
      <c r="B302" s="19" t="s">
        <v>5</v>
      </c>
      <c r="C302" s="19" t="s">
        <v>16</v>
      </c>
      <c r="D302" s="19" t="s">
        <v>31</v>
      </c>
      <c r="E302" s="20">
        <v>45524</v>
      </c>
      <c r="F302" s="19" t="s">
        <v>639</v>
      </c>
      <c r="G302" s="20">
        <v>45443</v>
      </c>
      <c r="H302" s="19" t="s">
        <v>29</v>
      </c>
      <c r="I302" s="19" t="s">
        <v>37</v>
      </c>
      <c r="J302" s="19" t="s">
        <v>41</v>
      </c>
      <c r="K302" s="19">
        <v>3</v>
      </c>
      <c r="L302" s="37">
        <v>588.48</v>
      </c>
      <c r="M302" s="19" t="s">
        <v>12</v>
      </c>
      <c r="N302" s="19">
        <v>48</v>
      </c>
      <c r="O302" s="20">
        <v>45694</v>
      </c>
      <c r="P302" s="19">
        <v>352</v>
      </c>
      <c r="Q302" s="19" t="s">
        <v>23</v>
      </c>
      <c r="S302" s="20">
        <v>45853</v>
      </c>
      <c r="T302" s="19" t="s">
        <v>24</v>
      </c>
      <c r="U302" s="39">
        <f>Table1[[#This Row],[QUANTITY]]*Table1[[#This Row],[PRICE]]</f>
        <v>1765.44</v>
      </c>
    </row>
    <row r="303" spans="1:21">
      <c r="A303" s="19" t="s">
        <v>640</v>
      </c>
      <c r="B303" s="19" t="s">
        <v>26</v>
      </c>
      <c r="C303" s="19" t="s">
        <v>16</v>
      </c>
      <c r="D303" s="19" t="s">
        <v>17</v>
      </c>
      <c r="E303" s="20">
        <v>45532</v>
      </c>
      <c r="F303" s="19" t="s">
        <v>641</v>
      </c>
      <c r="G303" s="20">
        <v>45443</v>
      </c>
      <c r="H303" s="19" t="s">
        <v>9</v>
      </c>
      <c r="I303" s="19" t="s">
        <v>55</v>
      </c>
      <c r="J303" s="19" t="s">
        <v>41</v>
      </c>
      <c r="K303" s="19">
        <v>3</v>
      </c>
      <c r="L303" s="37">
        <v>239.85</v>
      </c>
      <c r="M303" s="19" t="s">
        <v>38</v>
      </c>
      <c r="N303" s="19">
        <v>46</v>
      </c>
      <c r="O303" s="20">
        <v>45571</v>
      </c>
      <c r="P303" s="19">
        <v>360</v>
      </c>
      <c r="Q303" s="19" t="s">
        <v>13</v>
      </c>
      <c r="S303" s="20">
        <v>45694</v>
      </c>
      <c r="T303" s="19" t="s">
        <v>24</v>
      </c>
      <c r="U303" s="39">
        <f>Table1[[#This Row],[QUANTITY]]*Table1[[#This Row],[PRICE]]</f>
        <v>719.55</v>
      </c>
    </row>
    <row r="304" spans="1:21">
      <c r="A304" s="19" t="s">
        <v>642</v>
      </c>
      <c r="B304" s="19" t="s">
        <v>46</v>
      </c>
      <c r="C304" s="19" t="s">
        <v>27</v>
      </c>
      <c r="D304" s="19" t="s">
        <v>17</v>
      </c>
      <c r="E304" s="20">
        <v>45176</v>
      </c>
      <c r="F304" s="19" t="s">
        <v>643</v>
      </c>
      <c r="G304" s="20">
        <v>45443</v>
      </c>
      <c r="H304" s="19" t="s">
        <v>29</v>
      </c>
      <c r="I304" s="19" t="s">
        <v>20</v>
      </c>
      <c r="J304" s="19" t="s">
        <v>48</v>
      </c>
      <c r="K304" s="19">
        <v>2</v>
      </c>
      <c r="L304" s="37">
        <v>1098.18</v>
      </c>
      <c r="M304" s="19" t="s">
        <v>12</v>
      </c>
      <c r="N304" s="19">
        <v>32</v>
      </c>
      <c r="O304" s="20">
        <v>45731</v>
      </c>
      <c r="P304" s="19">
        <v>456</v>
      </c>
      <c r="Q304" s="19" t="s">
        <v>13</v>
      </c>
      <c r="R304" s="19">
        <v>2</v>
      </c>
      <c r="S304" s="20">
        <v>45864</v>
      </c>
      <c r="T304" s="19" t="s">
        <v>14</v>
      </c>
      <c r="U304" s="39">
        <f>Table1[[#This Row],[QUANTITY]]*Table1[[#This Row],[PRICE]]</f>
        <v>2196.36</v>
      </c>
    </row>
    <row r="305" spans="1:21">
      <c r="A305" s="19" t="s">
        <v>644</v>
      </c>
      <c r="B305" s="19" t="s">
        <v>5</v>
      </c>
      <c r="C305" s="19" t="s">
        <v>27</v>
      </c>
      <c r="D305" s="19" t="s">
        <v>7</v>
      </c>
      <c r="E305" s="20">
        <v>45780</v>
      </c>
      <c r="F305" s="19" t="s">
        <v>645</v>
      </c>
      <c r="G305" s="20">
        <v>45443</v>
      </c>
      <c r="H305" s="19" t="s">
        <v>19</v>
      </c>
      <c r="I305" s="19" t="s">
        <v>10</v>
      </c>
      <c r="J305" s="19" t="s">
        <v>33</v>
      </c>
      <c r="K305" s="19">
        <v>5</v>
      </c>
      <c r="L305" s="37">
        <v>322.42</v>
      </c>
      <c r="M305" s="19" t="s">
        <v>12</v>
      </c>
      <c r="N305" s="19">
        <v>39</v>
      </c>
      <c r="O305" s="20">
        <v>45611</v>
      </c>
      <c r="P305" s="19">
        <v>441</v>
      </c>
      <c r="Q305" s="19" t="s">
        <v>13</v>
      </c>
      <c r="R305" s="19">
        <v>5</v>
      </c>
      <c r="S305" s="20">
        <v>45658</v>
      </c>
      <c r="T305" s="19" t="s">
        <v>14</v>
      </c>
      <c r="U305" s="39">
        <f>Table1[[#This Row],[QUANTITY]]*Table1[[#This Row],[PRICE]]</f>
        <v>1612.1000000000001</v>
      </c>
    </row>
    <row r="306" spans="1:21">
      <c r="A306" s="19" t="s">
        <v>646</v>
      </c>
      <c r="B306" s="19" t="s">
        <v>26</v>
      </c>
      <c r="C306" s="19" t="s">
        <v>16</v>
      </c>
      <c r="D306" s="19" t="s">
        <v>7</v>
      </c>
      <c r="E306" s="20">
        <v>45533</v>
      </c>
      <c r="F306" s="19" t="s">
        <v>647</v>
      </c>
      <c r="G306" s="20">
        <v>45443</v>
      </c>
      <c r="H306" s="19" t="s">
        <v>9</v>
      </c>
      <c r="I306" s="19" t="s">
        <v>10</v>
      </c>
      <c r="J306" s="19" t="s">
        <v>41</v>
      </c>
      <c r="K306" s="19">
        <v>2</v>
      </c>
      <c r="L306" s="37">
        <v>1089.73</v>
      </c>
      <c r="M306" s="19" t="s">
        <v>12</v>
      </c>
      <c r="N306" s="19">
        <v>37</v>
      </c>
      <c r="O306" s="20">
        <v>45595</v>
      </c>
      <c r="P306" s="19">
        <v>106</v>
      </c>
      <c r="Q306" s="19" t="s">
        <v>13</v>
      </c>
      <c r="R306" s="19">
        <v>2</v>
      </c>
      <c r="S306" s="20">
        <v>45766</v>
      </c>
      <c r="T306" s="19" t="s">
        <v>34</v>
      </c>
      <c r="U306" s="39">
        <f>Table1[[#This Row],[QUANTITY]]*Table1[[#This Row],[PRICE]]</f>
        <v>2179.46</v>
      </c>
    </row>
    <row r="307" spans="1:21">
      <c r="A307" s="19" t="s">
        <v>648</v>
      </c>
      <c r="B307" s="19" t="s">
        <v>26</v>
      </c>
      <c r="C307" s="19" t="s">
        <v>16</v>
      </c>
      <c r="D307" s="19" t="s">
        <v>53</v>
      </c>
      <c r="E307" s="20">
        <v>45168</v>
      </c>
      <c r="F307" s="19" t="s">
        <v>649</v>
      </c>
      <c r="G307" s="20">
        <v>45444</v>
      </c>
      <c r="H307" s="19" t="s">
        <v>29</v>
      </c>
      <c r="I307" s="19" t="s">
        <v>55</v>
      </c>
      <c r="J307" s="19" t="s">
        <v>33</v>
      </c>
      <c r="K307" s="19">
        <v>2</v>
      </c>
      <c r="L307" s="37">
        <v>832.14</v>
      </c>
      <c r="M307" s="19" t="s">
        <v>22</v>
      </c>
      <c r="N307" s="19">
        <v>36</v>
      </c>
      <c r="O307" s="20">
        <v>45888</v>
      </c>
      <c r="P307" s="19">
        <v>425</v>
      </c>
      <c r="Q307" s="19" t="s">
        <v>23</v>
      </c>
      <c r="R307" s="19">
        <v>1</v>
      </c>
      <c r="S307" s="20">
        <v>45772</v>
      </c>
      <c r="T307" s="19" t="s">
        <v>34</v>
      </c>
      <c r="U307" s="39">
        <f>Table1[[#This Row],[QUANTITY]]*Table1[[#This Row],[PRICE]]</f>
        <v>1664.28</v>
      </c>
    </row>
    <row r="308" spans="1:21">
      <c r="A308" s="19" t="s">
        <v>650</v>
      </c>
      <c r="B308" s="19" t="s">
        <v>5</v>
      </c>
      <c r="C308" s="19" t="s">
        <v>6</v>
      </c>
      <c r="D308" s="19" t="s">
        <v>31</v>
      </c>
      <c r="E308" s="20">
        <v>45537</v>
      </c>
      <c r="F308" s="19" t="s">
        <v>651</v>
      </c>
      <c r="G308" s="20">
        <v>45444</v>
      </c>
      <c r="H308" s="19" t="s">
        <v>62</v>
      </c>
      <c r="I308" s="19" t="s">
        <v>20</v>
      </c>
      <c r="J308" s="19" t="s">
        <v>21</v>
      </c>
      <c r="K308" s="19">
        <v>2</v>
      </c>
      <c r="L308" s="37">
        <v>966.24</v>
      </c>
      <c r="M308" s="19" t="s">
        <v>38</v>
      </c>
      <c r="N308" s="19">
        <v>39</v>
      </c>
      <c r="O308" s="20">
        <v>45564</v>
      </c>
      <c r="P308" s="19">
        <v>119</v>
      </c>
      <c r="Q308" s="19" t="s">
        <v>23</v>
      </c>
      <c r="S308" s="20">
        <v>45791</v>
      </c>
      <c r="T308" s="19" t="s">
        <v>24</v>
      </c>
      <c r="U308" s="39">
        <f>Table1[[#This Row],[QUANTITY]]*Table1[[#This Row],[PRICE]]</f>
        <v>1932.48</v>
      </c>
    </row>
    <row r="309" spans="1:21">
      <c r="A309" s="19" t="s">
        <v>652</v>
      </c>
      <c r="B309" s="19" t="s">
        <v>46</v>
      </c>
      <c r="C309" s="19" t="s">
        <v>27</v>
      </c>
      <c r="D309" s="19" t="s">
        <v>53</v>
      </c>
      <c r="E309" s="20">
        <v>45472</v>
      </c>
      <c r="F309" s="19" t="s">
        <v>653</v>
      </c>
      <c r="G309" s="20">
        <v>45444</v>
      </c>
      <c r="H309" s="19" t="s">
        <v>9</v>
      </c>
      <c r="I309" s="19" t="s">
        <v>51</v>
      </c>
      <c r="J309" s="19" t="s">
        <v>11</v>
      </c>
      <c r="K309" s="19">
        <v>5</v>
      </c>
      <c r="L309" s="37">
        <v>1148.79</v>
      </c>
      <c r="M309" s="19" t="s">
        <v>12</v>
      </c>
      <c r="N309" s="19">
        <v>50</v>
      </c>
      <c r="O309" s="20">
        <v>45583</v>
      </c>
      <c r="P309" s="19">
        <v>345</v>
      </c>
      <c r="Q309" s="19" t="s">
        <v>23</v>
      </c>
      <c r="R309" s="19">
        <v>4</v>
      </c>
      <c r="S309" s="20">
        <v>45674</v>
      </c>
      <c r="T309" s="19" t="s">
        <v>14</v>
      </c>
      <c r="U309" s="39">
        <f>Table1[[#This Row],[QUANTITY]]*Table1[[#This Row],[PRICE]]</f>
        <v>5743.95</v>
      </c>
    </row>
    <row r="310" spans="1:21">
      <c r="A310" s="19" t="s">
        <v>654</v>
      </c>
      <c r="B310" s="19" t="s">
        <v>5</v>
      </c>
      <c r="C310" s="19" t="s">
        <v>16</v>
      </c>
      <c r="D310" s="19" t="s">
        <v>70</v>
      </c>
      <c r="E310" s="20">
        <v>45217</v>
      </c>
      <c r="F310" s="19" t="s">
        <v>655</v>
      </c>
      <c r="G310" s="20">
        <v>45444</v>
      </c>
      <c r="H310" s="19" t="s">
        <v>29</v>
      </c>
      <c r="I310" s="19" t="s">
        <v>51</v>
      </c>
      <c r="J310" s="19" t="s">
        <v>41</v>
      </c>
      <c r="K310" s="19">
        <v>5</v>
      </c>
      <c r="L310" s="37">
        <v>146.74</v>
      </c>
      <c r="M310" s="19" t="s">
        <v>38</v>
      </c>
      <c r="N310" s="19">
        <v>16</v>
      </c>
      <c r="O310" s="20">
        <v>45846</v>
      </c>
      <c r="P310" s="19">
        <v>383</v>
      </c>
      <c r="Q310" s="19" t="s">
        <v>23</v>
      </c>
      <c r="S310" s="20">
        <v>45553</v>
      </c>
      <c r="T310" s="19" t="s">
        <v>24</v>
      </c>
      <c r="U310" s="39">
        <f>Table1[[#This Row],[QUANTITY]]*Table1[[#This Row],[PRICE]]</f>
        <v>733.7</v>
      </c>
    </row>
    <row r="311" spans="1:21">
      <c r="A311" s="19" t="s">
        <v>656</v>
      </c>
      <c r="B311" s="19" t="s">
        <v>26</v>
      </c>
      <c r="C311" s="19" t="s">
        <v>6</v>
      </c>
      <c r="D311" s="19" t="s">
        <v>70</v>
      </c>
      <c r="E311" s="20">
        <v>45421</v>
      </c>
      <c r="F311" s="19" t="s">
        <v>657</v>
      </c>
      <c r="G311" s="20">
        <v>45444</v>
      </c>
      <c r="H311" s="19" t="s">
        <v>29</v>
      </c>
      <c r="I311" s="19" t="s">
        <v>55</v>
      </c>
      <c r="J311" s="19" t="s">
        <v>41</v>
      </c>
      <c r="K311" s="19">
        <v>1</v>
      </c>
      <c r="L311" s="37">
        <v>1040.28</v>
      </c>
      <c r="M311" s="19" t="s">
        <v>38</v>
      </c>
      <c r="N311" s="19">
        <v>10</v>
      </c>
      <c r="O311" s="20">
        <v>45753</v>
      </c>
      <c r="P311" s="19">
        <v>129</v>
      </c>
      <c r="Q311" s="19" t="s">
        <v>23</v>
      </c>
      <c r="R311" s="19">
        <v>4</v>
      </c>
      <c r="S311" s="20">
        <v>45697</v>
      </c>
      <c r="T311" s="19" t="s">
        <v>34</v>
      </c>
      <c r="U311" s="39">
        <f>Table1[[#This Row],[QUANTITY]]*Table1[[#This Row],[PRICE]]</f>
        <v>1040.28</v>
      </c>
    </row>
    <row r="312" spans="1:21">
      <c r="A312" s="19" t="s">
        <v>658</v>
      </c>
      <c r="B312" s="19" t="s">
        <v>46</v>
      </c>
      <c r="C312" s="19" t="s">
        <v>16</v>
      </c>
      <c r="D312" s="19" t="s">
        <v>17</v>
      </c>
      <c r="E312" s="20">
        <v>45659</v>
      </c>
      <c r="F312" s="19" t="s">
        <v>659</v>
      </c>
      <c r="G312" s="20">
        <v>45444</v>
      </c>
      <c r="H312" s="19" t="s">
        <v>29</v>
      </c>
      <c r="I312" s="19" t="s">
        <v>10</v>
      </c>
      <c r="J312" s="19" t="s">
        <v>48</v>
      </c>
      <c r="K312" s="19">
        <v>2</v>
      </c>
      <c r="L312" s="37">
        <v>1294.54</v>
      </c>
      <c r="M312" s="19" t="s">
        <v>38</v>
      </c>
      <c r="N312" s="19">
        <v>31</v>
      </c>
      <c r="O312" s="20">
        <v>45850</v>
      </c>
      <c r="P312" s="19">
        <v>96</v>
      </c>
      <c r="Q312" s="19" t="s">
        <v>13</v>
      </c>
      <c r="S312" s="20">
        <v>45878</v>
      </c>
      <c r="T312" s="19" t="s">
        <v>24</v>
      </c>
      <c r="U312" s="39">
        <f>Table1[[#This Row],[QUANTITY]]*Table1[[#This Row],[PRICE]]</f>
        <v>2589.08</v>
      </c>
    </row>
    <row r="313" spans="1:21">
      <c r="A313" s="19" t="s">
        <v>660</v>
      </c>
      <c r="B313" s="19" t="s">
        <v>46</v>
      </c>
      <c r="C313" s="19" t="s">
        <v>6</v>
      </c>
      <c r="D313" s="19" t="s">
        <v>17</v>
      </c>
      <c r="E313" s="20">
        <v>45328</v>
      </c>
      <c r="F313" s="19" t="s">
        <v>661</v>
      </c>
      <c r="G313" s="20">
        <v>45444</v>
      </c>
      <c r="H313" s="19" t="s">
        <v>44</v>
      </c>
      <c r="I313" s="19" t="s">
        <v>55</v>
      </c>
      <c r="J313" s="19" t="s">
        <v>21</v>
      </c>
      <c r="K313" s="19">
        <v>3</v>
      </c>
      <c r="L313" s="37">
        <v>714.7</v>
      </c>
      <c r="M313" s="19" t="s">
        <v>12</v>
      </c>
      <c r="N313" s="19">
        <v>14</v>
      </c>
      <c r="O313" s="20">
        <v>45615</v>
      </c>
      <c r="P313" s="19">
        <v>193</v>
      </c>
      <c r="Q313" s="19" t="s">
        <v>23</v>
      </c>
      <c r="R313" s="19">
        <v>5</v>
      </c>
      <c r="S313" s="20">
        <v>45595</v>
      </c>
      <c r="T313" s="19" t="s">
        <v>14</v>
      </c>
      <c r="U313" s="39">
        <f>Table1[[#This Row],[QUANTITY]]*Table1[[#This Row],[PRICE]]</f>
        <v>2144.1000000000004</v>
      </c>
    </row>
    <row r="314" spans="1:21">
      <c r="A314" s="19" t="s">
        <v>662</v>
      </c>
      <c r="B314" s="19" t="s">
        <v>26</v>
      </c>
      <c r="C314" s="19" t="s">
        <v>16</v>
      </c>
      <c r="D314" s="19" t="s">
        <v>70</v>
      </c>
      <c r="E314" s="20">
        <v>45729</v>
      </c>
      <c r="F314" s="19" t="s">
        <v>663</v>
      </c>
      <c r="G314" s="20">
        <v>45444</v>
      </c>
      <c r="H314" s="19" t="s">
        <v>29</v>
      </c>
      <c r="I314" s="19" t="s">
        <v>55</v>
      </c>
      <c r="J314" s="19" t="s">
        <v>21</v>
      </c>
      <c r="K314" s="19">
        <v>2</v>
      </c>
      <c r="L314" s="37">
        <v>277.02</v>
      </c>
      <c r="M314" s="19" t="s">
        <v>12</v>
      </c>
      <c r="N314" s="19">
        <v>29</v>
      </c>
      <c r="O314" s="20">
        <v>45843</v>
      </c>
      <c r="P314" s="19">
        <v>394</v>
      </c>
      <c r="Q314" s="19" t="s">
        <v>13</v>
      </c>
      <c r="R314" s="19">
        <v>3</v>
      </c>
      <c r="S314" s="20">
        <v>45791</v>
      </c>
      <c r="T314" s="19" t="s">
        <v>14</v>
      </c>
      <c r="U314" s="39">
        <f>Table1[[#This Row],[QUANTITY]]*Table1[[#This Row],[PRICE]]</f>
        <v>554.04</v>
      </c>
    </row>
    <row r="315" spans="1:21">
      <c r="A315" s="19" t="s">
        <v>664</v>
      </c>
      <c r="B315" s="19" t="s">
        <v>5</v>
      </c>
      <c r="C315" s="19" t="s">
        <v>16</v>
      </c>
      <c r="D315" s="19" t="s">
        <v>7</v>
      </c>
      <c r="E315" s="20">
        <v>45837</v>
      </c>
      <c r="F315" s="19" t="s">
        <v>665</v>
      </c>
      <c r="G315" s="20">
        <v>45444</v>
      </c>
      <c r="H315" s="19" t="s">
        <v>29</v>
      </c>
      <c r="I315" s="19" t="s">
        <v>51</v>
      </c>
      <c r="J315" s="19" t="s">
        <v>11</v>
      </c>
      <c r="K315" s="19">
        <v>1</v>
      </c>
      <c r="L315" s="37">
        <v>992.84</v>
      </c>
      <c r="M315" s="19" t="s">
        <v>38</v>
      </c>
      <c r="N315" s="19">
        <v>45</v>
      </c>
      <c r="O315" s="20">
        <v>45658</v>
      </c>
      <c r="P315" s="19">
        <v>31</v>
      </c>
      <c r="Q315" s="19" t="s">
        <v>13</v>
      </c>
      <c r="R315" s="19">
        <v>1</v>
      </c>
      <c r="S315" s="20">
        <v>45662</v>
      </c>
      <c r="T315" s="19" t="s">
        <v>34</v>
      </c>
      <c r="U315" s="39">
        <f>Table1[[#This Row],[QUANTITY]]*Table1[[#This Row],[PRICE]]</f>
        <v>992.84</v>
      </c>
    </row>
    <row r="316" spans="1:21">
      <c r="A316" s="19" t="s">
        <v>666</v>
      </c>
      <c r="B316" s="19" t="s">
        <v>46</v>
      </c>
      <c r="C316" s="19" t="s">
        <v>6</v>
      </c>
      <c r="D316" s="19" t="s">
        <v>17</v>
      </c>
      <c r="E316" s="20">
        <v>45881</v>
      </c>
      <c r="F316" s="19" t="s">
        <v>667</v>
      </c>
      <c r="G316" s="20">
        <v>45444</v>
      </c>
      <c r="H316" s="19" t="s">
        <v>19</v>
      </c>
      <c r="I316" s="19" t="s">
        <v>51</v>
      </c>
      <c r="J316" s="19" t="s">
        <v>41</v>
      </c>
      <c r="K316" s="19">
        <v>4</v>
      </c>
      <c r="L316" s="37">
        <v>134.74</v>
      </c>
      <c r="M316" s="19" t="s">
        <v>12</v>
      </c>
      <c r="N316" s="19">
        <v>8</v>
      </c>
      <c r="O316" s="20">
        <v>45778</v>
      </c>
      <c r="P316" s="19">
        <v>294</v>
      </c>
      <c r="Q316" s="19" t="s">
        <v>23</v>
      </c>
      <c r="S316" s="20">
        <v>45723</v>
      </c>
      <c r="T316" s="19" t="s">
        <v>24</v>
      </c>
      <c r="U316" s="39">
        <f>Table1[[#This Row],[QUANTITY]]*Table1[[#This Row],[PRICE]]</f>
        <v>538.96</v>
      </c>
    </row>
    <row r="317" spans="1:21">
      <c r="A317" s="19" t="s">
        <v>668</v>
      </c>
      <c r="B317" s="19" t="s">
        <v>46</v>
      </c>
      <c r="C317" s="19" t="s">
        <v>16</v>
      </c>
      <c r="D317" s="19" t="s">
        <v>17</v>
      </c>
      <c r="E317" s="20">
        <v>45757</v>
      </c>
      <c r="F317" s="19" t="s">
        <v>669</v>
      </c>
      <c r="G317" s="20">
        <v>45444</v>
      </c>
      <c r="H317" s="19" t="s">
        <v>44</v>
      </c>
      <c r="I317" s="19" t="s">
        <v>20</v>
      </c>
      <c r="J317" s="19" t="s">
        <v>48</v>
      </c>
      <c r="K317" s="19">
        <v>2</v>
      </c>
      <c r="L317" s="37">
        <v>1410.94</v>
      </c>
      <c r="M317" s="19" t="s">
        <v>12</v>
      </c>
      <c r="N317" s="19">
        <v>46</v>
      </c>
      <c r="O317" s="20">
        <v>45882</v>
      </c>
      <c r="P317" s="19">
        <v>41</v>
      </c>
      <c r="Q317" s="19" t="s">
        <v>23</v>
      </c>
      <c r="R317" s="19">
        <v>3</v>
      </c>
      <c r="S317" s="20">
        <v>45777</v>
      </c>
      <c r="T317" s="19" t="s">
        <v>14</v>
      </c>
      <c r="U317" s="39">
        <f>Table1[[#This Row],[QUANTITY]]*Table1[[#This Row],[PRICE]]</f>
        <v>2821.88</v>
      </c>
    </row>
    <row r="318" spans="1:21">
      <c r="A318" s="19" t="s">
        <v>670</v>
      </c>
      <c r="B318" s="19" t="s">
        <v>46</v>
      </c>
      <c r="C318" s="19" t="s">
        <v>27</v>
      </c>
      <c r="D318" s="19" t="s">
        <v>53</v>
      </c>
      <c r="E318" s="20">
        <v>45603</v>
      </c>
      <c r="F318" s="19" t="s">
        <v>671</v>
      </c>
      <c r="G318" s="20">
        <v>45445</v>
      </c>
      <c r="H318" s="19" t="s">
        <v>9</v>
      </c>
      <c r="I318" s="19" t="s">
        <v>51</v>
      </c>
      <c r="J318" s="19" t="s">
        <v>41</v>
      </c>
      <c r="K318" s="19">
        <v>2</v>
      </c>
      <c r="L318" s="37">
        <v>737.89</v>
      </c>
      <c r="M318" s="19" t="s">
        <v>22</v>
      </c>
      <c r="N318" s="19">
        <v>12</v>
      </c>
      <c r="O318" s="20">
        <v>45538</v>
      </c>
      <c r="P318" s="19">
        <v>107</v>
      </c>
      <c r="Q318" s="19" t="s">
        <v>13</v>
      </c>
      <c r="R318" s="19">
        <v>2</v>
      </c>
      <c r="S318" s="20">
        <v>45598</v>
      </c>
      <c r="T318" s="19" t="s">
        <v>34</v>
      </c>
      <c r="U318" s="39">
        <f>Table1[[#This Row],[QUANTITY]]*Table1[[#This Row],[PRICE]]</f>
        <v>1475.78</v>
      </c>
    </row>
    <row r="319" spans="1:21">
      <c r="A319" s="19" t="s">
        <v>672</v>
      </c>
      <c r="B319" s="19" t="s">
        <v>46</v>
      </c>
      <c r="C319" s="19" t="s">
        <v>6</v>
      </c>
      <c r="D319" s="19" t="s">
        <v>17</v>
      </c>
      <c r="E319" s="20">
        <v>45195</v>
      </c>
      <c r="F319" s="19" t="s">
        <v>673</v>
      </c>
      <c r="G319" s="20">
        <v>45445</v>
      </c>
      <c r="H319" s="19" t="s">
        <v>44</v>
      </c>
      <c r="I319" s="19" t="s">
        <v>55</v>
      </c>
      <c r="J319" s="19" t="s">
        <v>21</v>
      </c>
      <c r="K319" s="19">
        <v>4</v>
      </c>
      <c r="L319" s="37">
        <v>924.91</v>
      </c>
      <c r="M319" s="19" t="s">
        <v>22</v>
      </c>
      <c r="N319" s="19">
        <v>18</v>
      </c>
      <c r="O319" s="20">
        <v>45647</v>
      </c>
      <c r="P319" s="19">
        <v>482</v>
      </c>
      <c r="Q319" s="19" t="s">
        <v>23</v>
      </c>
      <c r="S319" s="20">
        <v>45623</v>
      </c>
      <c r="T319" s="19" t="s">
        <v>24</v>
      </c>
      <c r="U319" s="39">
        <f>Table1[[#This Row],[QUANTITY]]*Table1[[#This Row],[PRICE]]</f>
        <v>3699.64</v>
      </c>
    </row>
    <row r="320" spans="1:21">
      <c r="A320" s="19" t="s">
        <v>674</v>
      </c>
      <c r="B320" s="19" t="s">
        <v>26</v>
      </c>
      <c r="C320" s="19" t="s">
        <v>16</v>
      </c>
      <c r="D320" s="19" t="s">
        <v>17</v>
      </c>
      <c r="E320" s="20">
        <v>45459</v>
      </c>
      <c r="F320" s="19" t="s">
        <v>675</v>
      </c>
      <c r="G320" s="20">
        <v>45445</v>
      </c>
      <c r="H320" s="19" t="s">
        <v>19</v>
      </c>
      <c r="I320" s="19" t="s">
        <v>55</v>
      </c>
      <c r="J320" s="19" t="s">
        <v>48</v>
      </c>
      <c r="K320" s="19">
        <v>5</v>
      </c>
      <c r="L320" s="37">
        <v>1388.35</v>
      </c>
      <c r="M320" s="19" t="s">
        <v>38</v>
      </c>
      <c r="N320" s="19">
        <v>26</v>
      </c>
      <c r="O320" s="20">
        <v>45740</v>
      </c>
      <c r="P320" s="19">
        <v>228</v>
      </c>
      <c r="Q320" s="19" t="s">
        <v>13</v>
      </c>
      <c r="S320" s="20">
        <v>45535</v>
      </c>
      <c r="T320" s="19" t="s">
        <v>24</v>
      </c>
      <c r="U320" s="39">
        <f>Table1[[#This Row],[QUANTITY]]*Table1[[#This Row],[PRICE]]</f>
        <v>6941.75</v>
      </c>
    </row>
    <row r="321" spans="1:21">
      <c r="A321" s="19" t="s">
        <v>676</v>
      </c>
      <c r="B321" s="19" t="s">
        <v>46</v>
      </c>
      <c r="C321" s="19" t="s">
        <v>6</v>
      </c>
      <c r="D321" s="19" t="s">
        <v>7</v>
      </c>
      <c r="E321" s="20">
        <v>45290</v>
      </c>
      <c r="F321" s="19" t="s">
        <v>677</v>
      </c>
      <c r="G321" s="20">
        <v>45446</v>
      </c>
      <c r="H321" s="19" t="s">
        <v>44</v>
      </c>
      <c r="I321" s="19" t="s">
        <v>20</v>
      </c>
      <c r="J321" s="19" t="s">
        <v>48</v>
      </c>
      <c r="K321" s="19">
        <v>2</v>
      </c>
      <c r="L321" s="37">
        <v>1438.16</v>
      </c>
      <c r="M321" s="19" t="s">
        <v>22</v>
      </c>
      <c r="N321" s="19">
        <v>30</v>
      </c>
      <c r="O321" s="20">
        <v>45566</v>
      </c>
      <c r="P321" s="19">
        <v>262</v>
      </c>
      <c r="Q321" s="19" t="s">
        <v>23</v>
      </c>
      <c r="R321" s="19">
        <v>2</v>
      </c>
      <c r="S321" s="20">
        <v>45860</v>
      </c>
      <c r="T321" s="19" t="s">
        <v>14</v>
      </c>
      <c r="U321" s="39">
        <f>Table1[[#This Row],[QUANTITY]]*Table1[[#This Row],[PRICE]]</f>
        <v>2876.32</v>
      </c>
    </row>
    <row r="322" spans="1:21">
      <c r="A322" s="19" t="s">
        <v>678</v>
      </c>
      <c r="B322" s="19" t="s">
        <v>26</v>
      </c>
      <c r="C322" s="19" t="s">
        <v>6</v>
      </c>
      <c r="D322" s="19" t="s">
        <v>17</v>
      </c>
      <c r="E322" s="20">
        <v>45174</v>
      </c>
      <c r="F322" s="19" t="s">
        <v>679</v>
      </c>
      <c r="G322" s="20">
        <v>45446</v>
      </c>
      <c r="H322" s="19" t="s">
        <v>9</v>
      </c>
      <c r="I322" s="19" t="s">
        <v>37</v>
      </c>
      <c r="J322" s="19" t="s">
        <v>33</v>
      </c>
      <c r="K322" s="19">
        <v>4</v>
      </c>
      <c r="L322" s="37">
        <v>1372.11</v>
      </c>
      <c r="M322" s="19" t="s">
        <v>38</v>
      </c>
      <c r="N322" s="19">
        <v>35</v>
      </c>
      <c r="O322" s="20">
        <v>45577</v>
      </c>
      <c r="P322" s="19">
        <v>491</v>
      </c>
      <c r="Q322" s="19" t="s">
        <v>23</v>
      </c>
      <c r="S322" s="20">
        <v>45659</v>
      </c>
      <c r="T322" s="19" t="s">
        <v>24</v>
      </c>
      <c r="U322" s="39">
        <f>Table1[[#This Row],[QUANTITY]]*Table1[[#This Row],[PRICE]]</f>
        <v>5488.44</v>
      </c>
    </row>
    <row r="323" spans="1:21">
      <c r="A323" s="19" t="s">
        <v>680</v>
      </c>
      <c r="B323" s="19" t="s">
        <v>46</v>
      </c>
      <c r="C323" s="19" t="s">
        <v>6</v>
      </c>
      <c r="D323" s="19" t="s">
        <v>70</v>
      </c>
      <c r="E323" s="20">
        <v>45415</v>
      </c>
      <c r="F323" s="19" t="s">
        <v>681</v>
      </c>
      <c r="G323" s="20">
        <v>45446</v>
      </c>
      <c r="H323" s="19" t="s">
        <v>62</v>
      </c>
      <c r="I323" s="19" t="s">
        <v>51</v>
      </c>
      <c r="J323" s="19" t="s">
        <v>33</v>
      </c>
      <c r="K323" s="19">
        <v>1</v>
      </c>
      <c r="L323" s="37">
        <v>438</v>
      </c>
      <c r="M323" s="19" t="s">
        <v>12</v>
      </c>
      <c r="N323" s="19">
        <v>7</v>
      </c>
      <c r="O323" s="20">
        <v>45884</v>
      </c>
      <c r="P323" s="19">
        <v>124</v>
      </c>
      <c r="Q323" s="19" t="s">
        <v>13</v>
      </c>
      <c r="R323" s="19">
        <v>2</v>
      </c>
      <c r="S323" s="20">
        <v>45620</v>
      </c>
      <c r="T323" s="19" t="s">
        <v>34</v>
      </c>
      <c r="U323" s="39">
        <f>Table1[[#This Row],[QUANTITY]]*Table1[[#This Row],[PRICE]]</f>
        <v>438</v>
      </c>
    </row>
    <row r="324" spans="1:21">
      <c r="A324" s="19" t="s">
        <v>682</v>
      </c>
      <c r="B324" s="19" t="s">
        <v>26</v>
      </c>
      <c r="C324" s="19" t="s">
        <v>27</v>
      </c>
      <c r="D324" s="19" t="s">
        <v>31</v>
      </c>
      <c r="E324" s="20">
        <v>45484</v>
      </c>
      <c r="F324" s="19" t="s">
        <v>683</v>
      </c>
      <c r="G324" s="20">
        <v>45446</v>
      </c>
      <c r="H324" s="19" t="s">
        <v>19</v>
      </c>
      <c r="I324" s="19" t="s">
        <v>20</v>
      </c>
      <c r="J324" s="19" t="s">
        <v>41</v>
      </c>
      <c r="K324" s="19">
        <v>4</v>
      </c>
      <c r="L324" s="37">
        <v>1426.2</v>
      </c>
      <c r="M324" s="19" t="s">
        <v>22</v>
      </c>
      <c r="N324" s="19">
        <v>47</v>
      </c>
      <c r="O324" s="20">
        <v>45677</v>
      </c>
      <c r="P324" s="19">
        <v>372</v>
      </c>
      <c r="Q324" s="19" t="s">
        <v>23</v>
      </c>
      <c r="R324" s="19">
        <v>2</v>
      </c>
      <c r="S324" s="20">
        <v>45571</v>
      </c>
      <c r="T324" s="19" t="s">
        <v>14</v>
      </c>
      <c r="U324" s="39">
        <f>Table1[[#This Row],[QUANTITY]]*Table1[[#This Row],[PRICE]]</f>
        <v>5704.8</v>
      </c>
    </row>
    <row r="325" spans="1:21">
      <c r="A325" s="19" t="s">
        <v>684</v>
      </c>
      <c r="B325" s="19" t="s">
        <v>46</v>
      </c>
      <c r="C325" s="19" t="s">
        <v>16</v>
      </c>
      <c r="D325" s="19" t="s">
        <v>7</v>
      </c>
      <c r="E325" s="20">
        <v>45505</v>
      </c>
      <c r="F325" s="19" t="s">
        <v>685</v>
      </c>
      <c r="G325" s="20">
        <v>45446</v>
      </c>
      <c r="H325" s="19" t="s">
        <v>9</v>
      </c>
      <c r="I325" s="19" t="s">
        <v>51</v>
      </c>
      <c r="J325" s="19" t="s">
        <v>21</v>
      </c>
      <c r="K325" s="19">
        <v>3</v>
      </c>
      <c r="L325" s="37">
        <v>1041.28</v>
      </c>
      <c r="M325" s="19" t="s">
        <v>38</v>
      </c>
      <c r="N325" s="19">
        <v>26</v>
      </c>
      <c r="O325" s="20">
        <v>45665</v>
      </c>
      <c r="P325" s="19">
        <v>338</v>
      </c>
      <c r="Q325" s="19" t="s">
        <v>13</v>
      </c>
      <c r="S325" s="20">
        <v>45890</v>
      </c>
      <c r="T325" s="19" t="s">
        <v>24</v>
      </c>
      <c r="U325" s="39">
        <f>Table1[[#This Row],[QUANTITY]]*Table1[[#This Row],[PRICE]]</f>
        <v>3123.84</v>
      </c>
    </row>
    <row r="326" spans="1:21">
      <c r="A326" s="19" t="s">
        <v>686</v>
      </c>
      <c r="B326" s="19" t="s">
        <v>46</v>
      </c>
      <c r="C326" s="19" t="s">
        <v>6</v>
      </c>
      <c r="D326" s="19" t="s">
        <v>31</v>
      </c>
      <c r="E326" s="20">
        <v>45529</v>
      </c>
      <c r="F326" s="19" t="s">
        <v>687</v>
      </c>
      <c r="G326" s="20">
        <v>45446</v>
      </c>
      <c r="H326" s="19" t="s">
        <v>9</v>
      </c>
      <c r="I326" s="19" t="s">
        <v>10</v>
      </c>
      <c r="J326" s="19" t="s">
        <v>33</v>
      </c>
      <c r="K326" s="19">
        <v>3</v>
      </c>
      <c r="L326" s="37">
        <v>612.37</v>
      </c>
      <c r="M326" s="19" t="s">
        <v>38</v>
      </c>
      <c r="N326" s="19">
        <v>12</v>
      </c>
      <c r="O326" s="20">
        <v>45725</v>
      </c>
      <c r="P326" s="19">
        <v>414</v>
      </c>
      <c r="Q326" s="19" t="s">
        <v>23</v>
      </c>
      <c r="S326" s="20">
        <v>45761</v>
      </c>
      <c r="T326" s="19" t="s">
        <v>24</v>
      </c>
      <c r="U326" s="39">
        <f>Table1[[#This Row],[QUANTITY]]*Table1[[#This Row],[PRICE]]</f>
        <v>1837.1100000000001</v>
      </c>
    </row>
    <row r="327" spans="1:21">
      <c r="A327" s="19" t="s">
        <v>688</v>
      </c>
      <c r="B327" s="19" t="s">
        <v>26</v>
      </c>
      <c r="C327" s="19" t="s">
        <v>27</v>
      </c>
      <c r="D327" s="19" t="s">
        <v>31</v>
      </c>
      <c r="E327" s="20">
        <v>45386</v>
      </c>
      <c r="F327" s="19" t="s">
        <v>689</v>
      </c>
      <c r="G327" s="20">
        <v>45446</v>
      </c>
      <c r="H327" s="19" t="s">
        <v>44</v>
      </c>
      <c r="I327" s="19" t="s">
        <v>20</v>
      </c>
      <c r="J327" s="19" t="s">
        <v>41</v>
      </c>
      <c r="K327" s="19">
        <v>3</v>
      </c>
      <c r="L327" s="37">
        <v>757.95</v>
      </c>
      <c r="M327" s="19" t="s">
        <v>38</v>
      </c>
      <c r="N327" s="19">
        <v>5</v>
      </c>
      <c r="O327" s="20">
        <v>45778</v>
      </c>
      <c r="P327" s="19">
        <v>297</v>
      </c>
      <c r="Q327" s="19" t="s">
        <v>13</v>
      </c>
      <c r="S327" s="20">
        <v>45858</v>
      </c>
      <c r="T327" s="19" t="s">
        <v>24</v>
      </c>
      <c r="U327" s="39">
        <f>Table1[[#This Row],[QUANTITY]]*Table1[[#This Row],[PRICE]]</f>
        <v>2273.8500000000004</v>
      </c>
    </row>
    <row r="328" spans="1:21">
      <c r="A328" s="19" t="s">
        <v>690</v>
      </c>
      <c r="B328" s="19" t="s">
        <v>26</v>
      </c>
      <c r="C328" s="19" t="s">
        <v>27</v>
      </c>
      <c r="D328" s="19" t="s">
        <v>70</v>
      </c>
      <c r="E328" s="20">
        <v>45665</v>
      </c>
      <c r="F328" s="19" t="s">
        <v>691</v>
      </c>
      <c r="G328" s="20">
        <v>45446</v>
      </c>
      <c r="H328" s="19" t="s">
        <v>9</v>
      </c>
      <c r="I328" s="19" t="s">
        <v>51</v>
      </c>
      <c r="J328" s="19" t="s">
        <v>11</v>
      </c>
      <c r="K328" s="19">
        <v>5</v>
      </c>
      <c r="L328" s="37">
        <v>548.1</v>
      </c>
      <c r="M328" s="19" t="s">
        <v>22</v>
      </c>
      <c r="N328" s="19">
        <v>35</v>
      </c>
      <c r="O328" s="20">
        <v>45802</v>
      </c>
      <c r="P328" s="19">
        <v>182</v>
      </c>
      <c r="Q328" s="19" t="s">
        <v>13</v>
      </c>
      <c r="S328" s="20">
        <v>45797</v>
      </c>
      <c r="T328" s="19" t="s">
        <v>24</v>
      </c>
      <c r="U328" s="39">
        <f>Table1[[#This Row],[QUANTITY]]*Table1[[#This Row],[PRICE]]</f>
        <v>2740.5</v>
      </c>
    </row>
    <row r="329" spans="1:21">
      <c r="A329" s="19" t="s">
        <v>692</v>
      </c>
      <c r="B329" s="19" t="s">
        <v>5</v>
      </c>
      <c r="C329" s="19" t="s">
        <v>6</v>
      </c>
      <c r="D329" s="19" t="s">
        <v>70</v>
      </c>
      <c r="E329" s="20">
        <v>45658</v>
      </c>
      <c r="F329" s="19" t="s">
        <v>693</v>
      </c>
      <c r="G329" s="20">
        <v>45446</v>
      </c>
      <c r="H329" s="19" t="s">
        <v>29</v>
      </c>
      <c r="I329" s="19" t="s">
        <v>55</v>
      </c>
      <c r="J329" s="19" t="s">
        <v>48</v>
      </c>
      <c r="K329" s="19">
        <v>1</v>
      </c>
      <c r="L329" s="37">
        <v>562.67999999999995</v>
      </c>
      <c r="M329" s="19" t="s">
        <v>38</v>
      </c>
      <c r="N329" s="19">
        <v>2</v>
      </c>
      <c r="O329" s="20">
        <v>45761</v>
      </c>
      <c r="P329" s="19">
        <v>236</v>
      </c>
      <c r="Q329" s="19" t="s">
        <v>13</v>
      </c>
      <c r="S329" s="20">
        <v>45768</v>
      </c>
      <c r="T329" s="19" t="s">
        <v>24</v>
      </c>
      <c r="U329" s="39">
        <f>Table1[[#This Row],[QUANTITY]]*Table1[[#This Row],[PRICE]]</f>
        <v>562.67999999999995</v>
      </c>
    </row>
    <row r="330" spans="1:21">
      <c r="A330" s="19" t="s">
        <v>694</v>
      </c>
      <c r="B330" s="19" t="s">
        <v>26</v>
      </c>
      <c r="C330" s="19" t="s">
        <v>6</v>
      </c>
      <c r="D330" s="19" t="s">
        <v>31</v>
      </c>
      <c r="E330" s="20">
        <v>45297</v>
      </c>
      <c r="F330" s="19" t="s">
        <v>695</v>
      </c>
      <c r="G330" s="20">
        <v>45446</v>
      </c>
      <c r="H330" s="19" t="s">
        <v>19</v>
      </c>
      <c r="I330" s="19" t="s">
        <v>37</v>
      </c>
      <c r="J330" s="19" t="s">
        <v>33</v>
      </c>
      <c r="K330" s="19">
        <v>3</v>
      </c>
      <c r="L330" s="37">
        <v>863.26</v>
      </c>
      <c r="M330" s="19" t="s">
        <v>12</v>
      </c>
      <c r="N330" s="19">
        <v>30</v>
      </c>
      <c r="O330" s="20">
        <v>45789</v>
      </c>
      <c r="P330" s="19">
        <v>265</v>
      </c>
      <c r="Q330" s="19" t="s">
        <v>23</v>
      </c>
      <c r="R330" s="19">
        <v>3</v>
      </c>
      <c r="S330" s="20">
        <v>45549</v>
      </c>
      <c r="T330" s="19" t="s">
        <v>14</v>
      </c>
      <c r="U330" s="39">
        <f>Table1[[#This Row],[QUANTITY]]*Table1[[#This Row],[PRICE]]</f>
        <v>2589.7799999999997</v>
      </c>
    </row>
    <row r="331" spans="1:21">
      <c r="A331" s="19" t="s">
        <v>696</v>
      </c>
      <c r="B331" s="19" t="s">
        <v>26</v>
      </c>
      <c r="C331" s="19" t="s">
        <v>16</v>
      </c>
      <c r="D331" s="19" t="s">
        <v>70</v>
      </c>
      <c r="E331" s="20">
        <v>45698</v>
      </c>
      <c r="F331" s="19" t="s">
        <v>697</v>
      </c>
      <c r="G331" s="20">
        <v>45447</v>
      </c>
      <c r="H331" s="19" t="s">
        <v>44</v>
      </c>
      <c r="I331" s="19" t="s">
        <v>55</v>
      </c>
      <c r="J331" s="19" t="s">
        <v>48</v>
      </c>
      <c r="K331" s="19">
        <v>3</v>
      </c>
      <c r="L331" s="37">
        <v>460.02</v>
      </c>
      <c r="M331" s="19" t="s">
        <v>22</v>
      </c>
      <c r="N331" s="19">
        <v>16</v>
      </c>
      <c r="O331" s="20">
        <v>45729</v>
      </c>
      <c r="P331" s="19">
        <v>360</v>
      </c>
      <c r="Q331" s="19" t="s">
        <v>23</v>
      </c>
      <c r="R331" s="19">
        <v>3</v>
      </c>
      <c r="S331" s="20">
        <v>45866</v>
      </c>
      <c r="T331" s="19" t="s">
        <v>14</v>
      </c>
      <c r="U331" s="39">
        <f>Table1[[#This Row],[QUANTITY]]*Table1[[#This Row],[PRICE]]</f>
        <v>1380.06</v>
      </c>
    </row>
    <row r="332" spans="1:21">
      <c r="A332" s="19" t="s">
        <v>698</v>
      </c>
      <c r="B332" s="19" t="s">
        <v>5</v>
      </c>
      <c r="C332" s="19" t="s">
        <v>27</v>
      </c>
      <c r="D332" s="19" t="s">
        <v>31</v>
      </c>
      <c r="E332" s="20">
        <v>45577</v>
      </c>
      <c r="F332" s="19" t="s">
        <v>699</v>
      </c>
      <c r="G332" s="20">
        <v>45447</v>
      </c>
      <c r="H332" s="19" t="s">
        <v>19</v>
      </c>
      <c r="I332" s="19" t="s">
        <v>20</v>
      </c>
      <c r="J332" s="19" t="s">
        <v>33</v>
      </c>
      <c r="K332" s="19">
        <v>3</v>
      </c>
      <c r="L332" s="37">
        <v>1164.1199999999999</v>
      </c>
      <c r="M332" s="19" t="s">
        <v>38</v>
      </c>
      <c r="N332" s="19">
        <v>14</v>
      </c>
      <c r="O332" s="20">
        <v>45801</v>
      </c>
      <c r="P332" s="19">
        <v>247</v>
      </c>
      <c r="Q332" s="19" t="s">
        <v>13</v>
      </c>
      <c r="R332" s="19">
        <v>4</v>
      </c>
      <c r="S332" s="20">
        <v>45847</v>
      </c>
      <c r="T332" s="19" t="s">
        <v>34</v>
      </c>
      <c r="U332" s="39">
        <f>Table1[[#This Row],[QUANTITY]]*Table1[[#This Row],[PRICE]]</f>
        <v>3492.3599999999997</v>
      </c>
    </row>
    <row r="333" spans="1:21">
      <c r="A333" s="19" t="s">
        <v>700</v>
      </c>
      <c r="B333" s="19" t="s">
        <v>46</v>
      </c>
      <c r="C333" s="19" t="s">
        <v>27</v>
      </c>
      <c r="D333" s="19" t="s">
        <v>31</v>
      </c>
      <c r="E333" s="20">
        <v>45543</v>
      </c>
      <c r="F333" s="19" t="s">
        <v>701</v>
      </c>
      <c r="G333" s="20">
        <v>45447</v>
      </c>
      <c r="H333" s="19" t="s">
        <v>62</v>
      </c>
      <c r="I333" s="19" t="s">
        <v>37</v>
      </c>
      <c r="J333" s="19" t="s">
        <v>48</v>
      </c>
      <c r="K333" s="19">
        <v>3</v>
      </c>
      <c r="L333" s="37">
        <v>1491.06</v>
      </c>
      <c r="M333" s="19" t="s">
        <v>38</v>
      </c>
      <c r="N333" s="19">
        <v>49</v>
      </c>
      <c r="O333" s="20">
        <v>45802</v>
      </c>
      <c r="P333" s="19">
        <v>274</v>
      </c>
      <c r="Q333" s="19" t="s">
        <v>23</v>
      </c>
      <c r="S333" s="20">
        <v>45862</v>
      </c>
      <c r="T333" s="19" t="s">
        <v>24</v>
      </c>
      <c r="U333" s="39">
        <f>Table1[[#This Row],[QUANTITY]]*Table1[[#This Row],[PRICE]]</f>
        <v>4473.18</v>
      </c>
    </row>
    <row r="334" spans="1:21">
      <c r="A334" s="19" t="s">
        <v>702</v>
      </c>
      <c r="B334" s="19" t="s">
        <v>5</v>
      </c>
      <c r="C334" s="19" t="s">
        <v>6</v>
      </c>
      <c r="D334" s="19" t="s">
        <v>70</v>
      </c>
      <c r="E334" s="20">
        <v>45834</v>
      </c>
      <c r="F334" s="19" t="s">
        <v>703</v>
      </c>
      <c r="G334" s="20">
        <v>45447</v>
      </c>
      <c r="H334" s="19" t="s">
        <v>29</v>
      </c>
      <c r="I334" s="19" t="s">
        <v>20</v>
      </c>
      <c r="J334" s="19" t="s">
        <v>33</v>
      </c>
      <c r="K334" s="19">
        <v>2</v>
      </c>
      <c r="L334" s="37">
        <v>264.49</v>
      </c>
      <c r="M334" s="19" t="s">
        <v>38</v>
      </c>
      <c r="N334" s="19">
        <v>5</v>
      </c>
      <c r="O334" s="20">
        <v>45611</v>
      </c>
      <c r="P334" s="19">
        <v>7</v>
      </c>
      <c r="Q334" s="19" t="s">
        <v>13</v>
      </c>
      <c r="R334" s="19">
        <v>5</v>
      </c>
      <c r="S334" s="20">
        <v>45619</v>
      </c>
      <c r="T334" s="19" t="s">
        <v>34</v>
      </c>
      <c r="U334" s="39">
        <f>Table1[[#This Row],[QUANTITY]]*Table1[[#This Row],[PRICE]]</f>
        <v>528.98</v>
      </c>
    </row>
    <row r="335" spans="1:21">
      <c r="A335" s="19" t="s">
        <v>704</v>
      </c>
      <c r="B335" s="19" t="s">
        <v>5</v>
      </c>
      <c r="C335" s="19" t="s">
        <v>27</v>
      </c>
      <c r="D335" s="19" t="s">
        <v>17</v>
      </c>
      <c r="E335" s="20">
        <v>45515</v>
      </c>
      <c r="F335" s="19" t="s">
        <v>705</v>
      </c>
      <c r="G335" s="20">
        <v>45447</v>
      </c>
      <c r="H335" s="19" t="s">
        <v>9</v>
      </c>
      <c r="I335" s="19" t="s">
        <v>55</v>
      </c>
      <c r="J335" s="19" t="s">
        <v>41</v>
      </c>
      <c r="K335" s="19">
        <v>5</v>
      </c>
      <c r="L335" s="37">
        <v>300.02999999999997</v>
      </c>
      <c r="M335" s="19" t="s">
        <v>22</v>
      </c>
      <c r="N335" s="19">
        <v>3</v>
      </c>
      <c r="O335" s="20">
        <v>45865</v>
      </c>
      <c r="P335" s="19">
        <v>341</v>
      </c>
      <c r="Q335" s="19" t="s">
        <v>23</v>
      </c>
      <c r="R335" s="19">
        <v>1</v>
      </c>
      <c r="S335" s="20">
        <v>45808</v>
      </c>
      <c r="T335" s="19" t="s">
        <v>34</v>
      </c>
      <c r="U335" s="39">
        <f>Table1[[#This Row],[QUANTITY]]*Table1[[#This Row],[PRICE]]</f>
        <v>1500.1499999999999</v>
      </c>
    </row>
    <row r="336" spans="1:21">
      <c r="A336" s="19" t="s">
        <v>706</v>
      </c>
      <c r="B336" s="19" t="s">
        <v>46</v>
      </c>
      <c r="C336" s="19" t="s">
        <v>27</v>
      </c>
      <c r="D336" s="19" t="s">
        <v>17</v>
      </c>
      <c r="E336" s="20">
        <v>45518</v>
      </c>
      <c r="F336" s="19" t="s">
        <v>707</v>
      </c>
      <c r="G336" s="20">
        <v>45447</v>
      </c>
      <c r="H336" s="19" t="s">
        <v>62</v>
      </c>
      <c r="I336" s="19" t="s">
        <v>51</v>
      </c>
      <c r="J336" s="19" t="s">
        <v>11</v>
      </c>
      <c r="K336" s="19">
        <v>3</v>
      </c>
      <c r="L336" s="37">
        <v>1420.81</v>
      </c>
      <c r="M336" s="19" t="s">
        <v>12</v>
      </c>
      <c r="N336" s="19">
        <v>24</v>
      </c>
      <c r="O336" s="20">
        <v>45789</v>
      </c>
      <c r="P336" s="19">
        <v>238</v>
      </c>
      <c r="Q336" s="19" t="s">
        <v>13</v>
      </c>
      <c r="R336" s="19">
        <v>4</v>
      </c>
      <c r="S336" s="20">
        <v>45722</v>
      </c>
      <c r="T336" s="19" t="s">
        <v>14</v>
      </c>
      <c r="U336" s="39">
        <f>Table1[[#This Row],[QUANTITY]]*Table1[[#This Row],[PRICE]]</f>
        <v>4262.43</v>
      </c>
    </row>
    <row r="337" spans="1:21">
      <c r="A337" s="19" t="s">
        <v>708</v>
      </c>
      <c r="B337" s="19" t="s">
        <v>46</v>
      </c>
      <c r="C337" s="19" t="s">
        <v>16</v>
      </c>
      <c r="D337" s="19" t="s">
        <v>70</v>
      </c>
      <c r="E337" s="20">
        <v>45224</v>
      </c>
      <c r="F337" s="19" t="s">
        <v>709</v>
      </c>
      <c r="G337" s="20">
        <v>45447</v>
      </c>
      <c r="H337" s="19" t="s">
        <v>62</v>
      </c>
      <c r="I337" s="19" t="s">
        <v>55</v>
      </c>
      <c r="J337" s="19" t="s">
        <v>33</v>
      </c>
      <c r="K337" s="19">
        <v>1</v>
      </c>
      <c r="L337" s="37">
        <v>136.56</v>
      </c>
      <c r="M337" s="19" t="s">
        <v>22</v>
      </c>
      <c r="N337" s="19">
        <v>28</v>
      </c>
      <c r="O337" s="20">
        <v>45842</v>
      </c>
      <c r="P337" s="19">
        <v>25</v>
      </c>
      <c r="Q337" s="19" t="s">
        <v>23</v>
      </c>
      <c r="R337" s="19">
        <v>1</v>
      </c>
      <c r="S337" s="20">
        <v>45639</v>
      </c>
      <c r="T337" s="19" t="s">
        <v>14</v>
      </c>
      <c r="U337" s="39">
        <f>Table1[[#This Row],[QUANTITY]]*Table1[[#This Row],[PRICE]]</f>
        <v>136.56</v>
      </c>
    </row>
    <row r="338" spans="1:21">
      <c r="A338" s="19" t="s">
        <v>710</v>
      </c>
      <c r="B338" s="19" t="s">
        <v>46</v>
      </c>
      <c r="C338" s="19" t="s">
        <v>27</v>
      </c>
      <c r="D338" s="19" t="s">
        <v>70</v>
      </c>
      <c r="E338" s="20">
        <v>45603</v>
      </c>
      <c r="F338" s="19" t="s">
        <v>711</v>
      </c>
      <c r="G338" s="20">
        <v>45447</v>
      </c>
      <c r="H338" s="19" t="s">
        <v>44</v>
      </c>
      <c r="I338" s="19" t="s">
        <v>10</v>
      </c>
      <c r="J338" s="19" t="s">
        <v>41</v>
      </c>
      <c r="K338" s="19">
        <v>4</v>
      </c>
      <c r="L338" s="37">
        <v>327.77</v>
      </c>
      <c r="M338" s="19" t="s">
        <v>22</v>
      </c>
      <c r="N338" s="19">
        <v>46</v>
      </c>
      <c r="O338" s="20">
        <v>45596</v>
      </c>
      <c r="P338" s="19">
        <v>123</v>
      </c>
      <c r="Q338" s="19" t="s">
        <v>23</v>
      </c>
      <c r="S338" s="20">
        <v>45656</v>
      </c>
      <c r="T338" s="19" t="s">
        <v>24</v>
      </c>
      <c r="U338" s="39">
        <f>Table1[[#This Row],[QUANTITY]]*Table1[[#This Row],[PRICE]]</f>
        <v>1311.08</v>
      </c>
    </row>
    <row r="339" spans="1:21">
      <c r="A339" s="19" t="s">
        <v>712</v>
      </c>
      <c r="B339" s="19" t="s">
        <v>5</v>
      </c>
      <c r="C339" s="19" t="s">
        <v>16</v>
      </c>
      <c r="D339" s="19" t="s">
        <v>7</v>
      </c>
      <c r="E339" s="20">
        <v>45338</v>
      </c>
      <c r="F339" s="19" t="s">
        <v>713</v>
      </c>
      <c r="G339" s="20">
        <v>45448</v>
      </c>
      <c r="H339" s="19" t="s">
        <v>62</v>
      </c>
      <c r="I339" s="19" t="s">
        <v>20</v>
      </c>
      <c r="J339" s="19" t="s">
        <v>11</v>
      </c>
      <c r="K339" s="19">
        <v>1</v>
      </c>
      <c r="L339" s="37">
        <v>1360.42</v>
      </c>
      <c r="M339" s="19" t="s">
        <v>38</v>
      </c>
      <c r="N339" s="19">
        <v>47</v>
      </c>
      <c r="O339" s="20">
        <v>45636</v>
      </c>
      <c r="P339" s="19">
        <v>418</v>
      </c>
      <c r="Q339" s="19" t="s">
        <v>23</v>
      </c>
      <c r="R339" s="19">
        <v>4</v>
      </c>
      <c r="S339" s="20">
        <v>45880</v>
      </c>
      <c r="T339" s="19" t="s">
        <v>14</v>
      </c>
      <c r="U339" s="39">
        <f>Table1[[#This Row],[QUANTITY]]*Table1[[#This Row],[PRICE]]</f>
        <v>1360.42</v>
      </c>
    </row>
    <row r="340" spans="1:21">
      <c r="A340" s="19" t="s">
        <v>714</v>
      </c>
      <c r="B340" s="19" t="s">
        <v>26</v>
      </c>
      <c r="C340" s="19" t="s">
        <v>16</v>
      </c>
      <c r="D340" s="19" t="s">
        <v>17</v>
      </c>
      <c r="E340" s="20">
        <v>45313</v>
      </c>
      <c r="F340" s="19" t="s">
        <v>715</v>
      </c>
      <c r="G340" s="20">
        <v>45448</v>
      </c>
      <c r="H340" s="19" t="s">
        <v>44</v>
      </c>
      <c r="I340" s="19" t="s">
        <v>10</v>
      </c>
      <c r="J340" s="19" t="s">
        <v>21</v>
      </c>
      <c r="K340" s="19">
        <v>3</v>
      </c>
      <c r="L340" s="37">
        <v>640.49</v>
      </c>
      <c r="M340" s="19" t="s">
        <v>38</v>
      </c>
      <c r="N340" s="19">
        <v>26</v>
      </c>
      <c r="O340" s="20">
        <v>45598</v>
      </c>
      <c r="P340" s="19">
        <v>436</v>
      </c>
      <c r="Q340" s="19" t="s">
        <v>13</v>
      </c>
      <c r="R340" s="19">
        <v>3</v>
      </c>
      <c r="S340" s="20">
        <v>45757</v>
      </c>
      <c r="T340" s="19" t="s">
        <v>14</v>
      </c>
      <c r="U340" s="39">
        <f>Table1[[#This Row],[QUANTITY]]*Table1[[#This Row],[PRICE]]</f>
        <v>1921.47</v>
      </c>
    </row>
    <row r="341" spans="1:21">
      <c r="A341" s="19" t="s">
        <v>716</v>
      </c>
      <c r="B341" s="19" t="s">
        <v>5</v>
      </c>
      <c r="C341" s="19" t="s">
        <v>27</v>
      </c>
      <c r="D341" s="19" t="s">
        <v>53</v>
      </c>
      <c r="E341" s="20">
        <v>45308</v>
      </c>
      <c r="F341" s="19" t="s">
        <v>717</v>
      </c>
      <c r="G341" s="20">
        <v>45448</v>
      </c>
      <c r="H341" s="19" t="s">
        <v>29</v>
      </c>
      <c r="I341" s="19" t="s">
        <v>10</v>
      </c>
      <c r="J341" s="19" t="s">
        <v>48</v>
      </c>
      <c r="K341" s="19">
        <v>3</v>
      </c>
      <c r="L341" s="37">
        <v>1267.47</v>
      </c>
      <c r="M341" s="19" t="s">
        <v>22</v>
      </c>
      <c r="N341" s="19">
        <v>5</v>
      </c>
      <c r="O341" s="20">
        <v>45881</v>
      </c>
      <c r="P341" s="19">
        <v>297</v>
      </c>
      <c r="Q341" s="19" t="s">
        <v>23</v>
      </c>
      <c r="R341" s="19">
        <v>2</v>
      </c>
      <c r="S341" s="20">
        <v>45882</v>
      </c>
      <c r="T341" s="19" t="s">
        <v>34</v>
      </c>
      <c r="U341" s="39">
        <f>Table1[[#This Row],[QUANTITY]]*Table1[[#This Row],[PRICE]]</f>
        <v>3802.41</v>
      </c>
    </row>
    <row r="342" spans="1:21">
      <c r="A342" s="19" t="s">
        <v>718</v>
      </c>
      <c r="B342" s="19" t="s">
        <v>46</v>
      </c>
      <c r="C342" s="19" t="s">
        <v>6</v>
      </c>
      <c r="D342" s="19" t="s">
        <v>70</v>
      </c>
      <c r="E342" s="20">
        <v>45887</v>
      </c>
      <c r="F342" s="19" t="s">
        <v>719</v>
      </c>
      <c r="G342" s="20">
        <v>45448</v>
      </c>
      <c r="H342" s="19" t="s">
        <v>62</v>
      </c>
      <c r="I342" s="19" t="s">
        <v>10</v>
      </c>
      <c r="J342" s="19" t="s">
        <v>21</v>
      </c>
      <c r="K342" s="19">
        <v>4</v>
      </c>
      <c r="L342" s="37">
        <v>252.12</v>
      </c>
      <c r="M342" s="19" t="s">
        <v>38</v>
      </c>
      <c r="N342" s="19">
        <v>20</v>
      </c>
      <c r="O342" s="20">
        <v>45597</v>
      </c>
      <c r="P342" s="19">
        <v>350</v>
      </c>
      <c r="Q342" s="19" t="s">
        <v>23</v>
      </c>
      <c r="R342" s="19">
        <v>2</v>
      </c>
      <c r="S342" s="20">
        <v>45550</v>
      </c>
      <c r="T342" s="19" t="s">
        <v>14</v>
      </c>
      <c r="U342" s="39">
        <f>Table1[[#This Row],[QUANTITY]]*Table1[[#This Row],[PRICE]]</f>
        <v>1008.48</v>
      </c>
    </row>
    <row r="343" spans="1:21">
      <c r="A343" s="19" t="s">
        <v>720</v>
      </c>
      <c r="B343" s="19" t="s">
        <v>26</v>
      </c>
      <c r="C343" s="19" t="s">
        <v>27</v>
      </c>
      <c r="D343" s="19" t="s">
        <v>53</v>
      </c>
      <c r="E343" s="20">
        <v>45587</v>
      </c>
      <c r="F343" s="19" t="s">
        <v>721</v>
      </c>
      <c r="G343" s="20">
        <v>45449</v>
      </c>
      <c r="H343" s="19" t="s">
        <v>62</v>
      </c>
      <c r="I343" s="19" t="s">
        <v>51</v>
      </c>
      <c r="J343" s="19" t="s">
        <v>48</v>
      </c>
      <c r="K343" s="19">
        <v>4</v>
      </c>
      <c r="L343" s="37">
        <v>1452.09</v>
      </c>
      <c r="M343" s="19" t="s">
        <v>38</v>
      </c>
      <c r="N343" s="19">
        <v>36</v>
      </c>
      <c r="O343" s="20">
        <v>45763</v>
      </c>
      <c r="P343" s="19">
        <v>50</v>
      </c>
      <c r="Q343" s="19" t="s">
        <v>23</v>
      </c>
      <c r="R343" s="19">
        <v>2</v>
      </c>
      <c r="S343" s="20">
        <v>45804</v>
      </c>
      <c r="T343" s="19" t="s">
        <v>34</v>
      </c>
      <c r="U343" s="39">
        <f>Table1[[#This Row],[QUANTITY]]*Table1[[#This Row],[PRICE]]</f>
        <v>5808.36</v>
      </c>
    </row>
    <row r="344" spans="1:21">
      <c r="A344" s="19" t="s">
        <v>722</v>
      </c>
      <c r="B344" s="19" t="s">
        <v>46</v>
      </c>
      <c r="C344" s="19" t="s">
        <v>6</v>
      </c>
      <c r="D344" s="19" t="s">
        <v>53</v>
      </c>
      <c r="E344" s="20">
        <v>45691</v>
      </c>
      <c r="F344" s="19" t="s">
        <v>723</v>
      </c>
      <c r="G344" s="20">
        <v>45449</v>
      </c>
      <c r="H344" s="19" t="s">
        <v>9</v>
      </c>
      <c r="I344" s="19" t="s">
        <v>20</v>
      </c>
      <c r="J344" s="19" t="s">
        <v>11</v>
      </c>
      <c r="K344" s="19">
        <v>1</v>
      </c>
      <c r="L344" s="37">
        <v>186.75</v>
      </c>
      <c r="M344" s="19" t="s">
        <v>12</v>
      </c>
      <c r="N344" s="19">
        <v>29</v>
      </c>
      <c r="O344" s="20">
        <v>45686</v>
      </c>
      <c r="P344" s="19">
        <v>88</v>
      </c>
      <c r="Q344" s="19" t="s">
        <v>13</v>
      </c>
      <c r="R344" s="19">
        <v>3</v>
      </c>
      <c r="S344" s="20">
        <v>45632</v>
      </c>
      <c r="T344" s="19" t="s">
        <v>14</v>
      </c>
      <c r="U344" s="39">
        <f>Table1[[#This Row],[QUANTITY]]*Table1[[#This Row],[PRICE]]</f>
        <v>186.75</v>
      </c>
    </row>
    <row r="345" spans="1:21">
      <c r="A345" s="19" t="s">
        <v>724</v>
      </c>
      <c r="B345" s="19" t="s">
        <v>26</v>
      </c>
      <c r="C345" s="19" t="s">
        <v>27</v>
      </c>
      <c r="D345" s="19" t="s">
        <v>17</v>
      </c>
      <c r="E345" s="20">
        <v>45767</v>
      </c>
      <c r="F345" s="19" t="s">
        <v>725</v>
      </c>
      <c r="G345" s="20">
        <v>45449</v>
      </c>
      <c r="H345" s="19" t="s">
        <v>19</v>
      </c>
      <c r="I345" s="19" t="s">
        <v>10</v>
      </c>
      <c r="J345" s="19" t="s">
        <v>11</v>
      </c>
      <c r="K345" s="19">
        <v>1</v>
      </c>
      <c r="L345" s="37">
        <v>329.03</v>
      </c>
      <c r="M345" s="19" t="s">
        <v>22</v>
      </c>
      <c r="N345" s="19">
        <v>43</v>
      </c>
      <c r="O345" s="20">
        <v>45655</v>
      </c>
      <c r="P345" s="19">
        <v>76</v>
      </c>
      <c r="Q345" s="19" t="s">
        <v>23</v>
      </c>
      <c r="R345" s="19">
        <v>4</v>
      </c>
      <c r="S345" s="20">
        <v>45641</v>
      </c>
      <c r="T345" s="19" t="s">
        <v>14</v>
      </c>
      <c r="U345" s="39">
        <f>Table1[[#This Row],[QUANTITY]]*Table1[[#This Row],[PRICE]]</f>
        <v>329.03</v>
      </c>
    </row>
    <row r="346" spans="1:21">
      <c r="A346" s="19" t="s">
        <v>726</v>
      </c>
      <c r="B346" s="19" t="s">
        <v>46</v>
      </c>
      <c r="C346" s="19" t="s">
        <v>6</v>
      </c>
      <c r="D346" s="19" t="s">
        <v>70</v>
      </c>
      <c r="E346" s="20">
        <v>45171</v>
      </c>
      <c r="F346" s="19" t="s">
        <v>727</v>
      </c>
      <c r="G346" s="20">
        <v>45449</v>
      </c>
      <c r="H346" s="19" t="s">
        <v>9</v>
      </c>
      <c r="I346" s="19" t="s">
        <v>37</v>
      </c>
      <c r="J346" s="19" t="s">
        <v>48</v>
      </c>
      <c r="K346" s="19">
        <v>1</v>
      </c>
      <c r="L346" s="37">
        <v>252.64</v>
      </c>
      <c r="M346" s="19" t="s">
        <v>38</v>
      </c>
      <c r="N346" s="19">
        <v>29</v>
      </c>
      <c r="O346" s="20">
        <v>45718</v>
      </c>
      <c r="P346" s="19">
        <v>286</v>
      </c>
      <c r="Q346" s="19" t="s">
        <v>23</v>
      </c>
      <c r="R346" s="19">
        <v>5</v>
      </c>
      <c r="S346" s="20">
        <v>45776</v>
      </c>
      <c r="T346" s="19" t="s">
        <v>14</v>
      </c>
      <c r="U346" s="39">
        <f>Table1[[#This Row],[QUANTITY]]*Table1[[#This Row],[PRICE]]</f>
        <v>252.64</v>
      </c>
    </row>
    <row r="347" spans="1:21">
      <c r="A347" s="19" t="s">
        <v>728</v>
      </c>
      <c r="B347" s="19" t="s">
        <v>46</v>
      </c>
      <c r="C347" s="19" t="s">
        <v>6</v>
      </c>
      <c r="D347" s="19" t="s">
        <v>17</v>
      </c>
      <c r="E347" s="20">
        <v>45225</v>
      </c>
      <c r="F347" s="19" t="s">
        <v>729</v>
      </c>
      <c r="G347" s="20">
        <v>45449</v>
      </c>
      <c r="H347" s="19" t="s">
        <v>29</v>
      </c>
      <c r="I347" s="19" t="s">
        <v>37</v>
      </c>
      <c r="J347" s="19" t="s">
        <v>41</v>
      </c>
      <c r="K347" s="19">
        <v>5</v>
      </c>
      <c r="L347" s="37">
        <v>647.48</v>
      </c>
      <c r="M347" s="19" t="s">
        <v>12</v>
      </c>
      <c r="N347" s="19">
        <v>32</v>
      </c>
      <c r="O347" s="20">
        <v>45704</v>
      </c>
      <c r="P347" s="19">
        <v>95</v>
      </c>
      <c r="Q347" s="19" t="s">
        <v>23</v>
      </c>
      <c r="R347" s="19">
        <v>4</v>
      </c>
      <c r="S347" s="20">
        <v>45743</v>
      </c>
      <c r="T347" s="19" t="s">
        <v>34</v>
      </c>
      <c r="U347" s="39">
        <f>Table1[[#This Row],[QUANTITY]]*Table1[[#This Row],[PRICE]]</f>
        <v>3237.4</v>
      </c>
    </row>
    <row r="348" spans="1:21">
      <c r="A348" s="19" t="s">
        <v>730</v>
      </c>
      <c r="B348" s="19" t="s">
        <v>5</v>
      </c>
      <c r="C348" s="19" t="s">
        <v>6</v>
      </c>
      <c r="D348" s="19" t="s">
        <v>31</v>
      </c>
      <c r="E348" s="20">
        <v>45172</v>
      </c>
      <c r="F348" s="19" t="s">
        <v>731</v>
      </c>
      <c r="G348" s="20">
        <v>45449</v>
      </c>
      <c r="H348" s="19" t="s">
        <v>62</v>
      </c>
      <c r="I348" s="19" t="s">
        <v>20</v>
      </c>
      <c r="J348" s="19" t="s">
        <v>11</v>
      </c>
      <c r="K348" s="19">
        <v>1</v>
      </c>
      <c r="L348" s="37">
        <v>246.04</v>
      </c>
      <c r="M348" s="19" t="s">
        <v>12</v>
      </c>
      <c r="N348" s="19">
        <v>40</v>
      </c>
      <c r="O348" s="20">
        <v>45696</v>
      </c>
      <c r="P348" s="19">
        <v>431</v>
      </c>
      <c r="Q348" s="19" t="s">
        <v>23</v>
      </c>
      <c r="R348" s="19">
        <v>2</v>
      </c>
      <c r="S348" s="20">
        <v>45868</v>
      </c>
      <c r="T348" s="19" t="s">
        <v>14</v>
      </c>
      <c r="U348" s="39">
        <f>Table1[[#This Row],[QUANTITY]]*Table1[[#This Row],[PRICE]]</f>
        <v>246.04</v>
      </c>
    </row>
    <row r="349" spans="1:21">
      <c r="A349" s="19" t="s">
        <v>732</v>
      </c>
      <c r="B349" s="19" t="s">
        <v>5</v>
      </c>
      <c r="C349" s="19" t="s">
        <v>16</v>
      </c>
      <c r="D349" s="19" t="s">
        <v>70</v>
      </c>
      <c r="E349" s="20">
        <v>45491</v>
      </c>
      <c r="F349" s="19" t="s">
        <v>733</v>
      </c>
      <c r="G349" s="20">
        <v>45449</v>
      </c>
      <c r="H349" s="19" t="s">
        <v>9</v>
      </c>
      <c r="I349" s="19" t="s">
        <v>10</v>
      </c>
      <c r="J349" s="19" t="s">
        <v>48</v>
      </c>
      <c r="K349" s="19">
        <v>5</v>
      </c>
      <c r="L349" s="37">
        <v>300.25</v>
      </c>
      <c r="M349" s="19" t="s">
        <v>22</v>
      </c>
      <c r="N349" s="19">
        <v>42</v>
      </c>
      <c r="O349" s="20">
        <v>45828</v>
      </c>
      <c r="P349" s="19">
        <v>190</v>
      </c>
      <c r="Q349" s="19" t="s">
        <v>13</v>
      </c>
      <c r="R349" s="19">
        <v>3</v>
      </c>
      <c r="S349" s="20">
        <v>45845</v>
      </c>
      <c r="T349" s="19" t="s">
        <v>14</v>
      </c>
      <c r="U349" s="39">
        <f>Table1[[#This Row],[QUANTITY]]*Table1[[#This Row],[PRICE]]</f>
        <v>1501.25</v>
      </c>
    </row>
    <row r="350" spans="1:21">
      <c r="A350" s="19" t="s">
        <v>734</v>
      </c>
      <c r="B350" s="19" t="s">
        <v>26</v>
      </c>
      <c r="C350" s="19" t="s">
        <v>27</v>
      </c>
      <c r="D350" s="19" t="s">
        <v>53</v>
      </c>
      <c r="E350" s="20">
        <v>45237</v>
      </c>
      <c r="F350" s="19" t="s">
        <v>735</v>
      </c>
      <c r="G350" s="20">
        <v>45450</v>
      </c>
      <c r="H350" s="19" t="s">
        <v>29</v>
      </c>
      <c r="I350" s="19" t="s">
        <v>20</v>
      </c>
      <c r="J350" s="19" t="s">
        <v>48</v>
      </c>
      <c r="K350" s="19">
        <v>1</v>
      </c>
      <c r="L350" s="37">
        <v>288.39</v>
      </c>
      <c r="M350" s="19" t="s">
        <v>12</v>
      </c>
      <c r="N350" s="19">
        <v>35</v>
      </c>
      <c r="O350" s="20">
        <v>45705</v>
      </c>
      <c r="P350" s="19">
        <v>405</v>
      </c>
      <c r="Q350" s="19" t="s">
        <v>23</v>
      </c>
      <c r="R350" s="19">
        <v>2</v>
      </c>
      <c r="S350" s="20">
        <v>45700</v>
      </c>
      <c r="T350" s="19" t="s">
        <v>14</v>
      </c>
      <c r="U350" s="39">
        <f>Table1[[#This Row],[QUANTITY]]*Table1[[#This Row],[PRICE]]</f>
        <v>288.39</v>
      </c>
    </row>
    <row r="351" spans="1:21">
      <c r="A351" s="19" t="s">
        <v>736</v>
      </c>
      <c r="B351" s="19" t="s">
        <v>5</v>
      </c>
      <c r="C351" s="19" t="s">
        <v>6</v>
      </c>
      <c r="D351" s="19" t="s">
        <v>53</v>
      </c>
      <c r="E351" s="20">
        <v>45720</v>
      </c>
      <c r="F351" s="19" t="s">
        <v>737</v>
      </c>
      <c r="G351" s="20">
        <v>45450</v>
      </c>
      <c r="H351" s="19" t="s">
        <v>62</v>
      </c>
      <c r="I351" s="19" t="s">
        <v>37</v>
      </c>
      <c r="J351" s="19" t="s">
        <v>48</v>
      </c>
      <c r="K351" s="19">
        <v>2</v>
      </c>
      <c r="L351" s="37">
        <v>1478.57</v>
      </c>
      <c r="M351" s="19" t="s">
        <v>12</v>
      </c>
      <c r="N351" s="19">
        <v>7</v>
      </c>
      <c r="O351" s="20">
        <v>45869</v>
      </c>
      <c r="P351" s="19">
        <v>154</v>
      </c>
      <c r="Q351" s="19" t="s">
        <v>13</v>
      </c>
      <c r="R351" s="19">
        <v>5</v>
      </c>
      <c r="S351" s="20">
        <v>45828</v>
      </c>
      <c r="T351" s="19" t="s">
        <v>34</v>
      </c>
      <c r="U351" s="39">
        <f>Table1[[#This Row],[QUANTITY]]*Table1[[#This Row],[PRICE]]</f>
        <v>2957.14</v>
      </c>
    </row>
    <row r="352" spans="1:21">
      <c r="A352" s="19" t="s">
        <v>738</v>
      </c>
      <c r="B352" s="19" t="s">
        <v>5</v>
      </c>
      <c r="C352" s="19" t="s">
        <v>16</v>
      </c>
      <c r="D352" s="19" t="s">
        <v>31</v>
      </c>
      <c r="E352" s="20">
        <v>45852</v>
      </c>
      <c r="F352" s="19" t="s">
        <v>739</v>
      </c>
      <c r="G352" s="20">
        <v>45450</v>
      </c>
      <c r="H352" s="19" t="s">
        <v>19</v>
      </c>
      <c r="I352" s="19" t="s">
        <v>37</v>
      </c>
      <c r="J352" s="19" t="s">
        <v>21</v>
      </c>
      <c r="K352" s="19">
        <v>2</v>
      </c>
      <c r="L352" s="37">
        <v>978.69</v>
      </c>
      <c r="M352" s="19" t="s">
        <v>12</v>
      </c>
      <c r="N352" s="19">
        <v>17</v>
      </c>
      <c r="O352" s="20">
        <v>45855</v>
      </c>
      <c r="P352" s="19">
        <v>253</v>
      </c>
      <c r="Q352" s="19" t="s">
        <v>13</v>
      </c>
      <c r="S352" s="20">
        <v>45854</v>
      </c>
      <c r="T352" s="19" t="s">
        <v>24</v>
      </c>
      <c r="U352" s="39">
        <f>Table1[[#This Row],[QUANTITY]]*Table1[[#This Row],[PRICE]]</f>
        <v>1957.38</v>
      </c>
    </row>
    <row r="353" spans="1:21">
      <c r="A353" s="19" t="s">
        <v>740</v>
      </c>
      <c r="B353" s="19" t="s">
        <v>5</v>
      </c>
      <c r="C353" s="19" t="s">
        <v>16</v>
      </c>
      <c r="D353" s="19" t="s">
        <v>17</v>
      </c>
      <c r="E353" s="20">
        <v>45815</v>
      </c>
      <c r="F353" s="19" t="s">
        <v>741</v>
      </c>
      <c r="G353" s="20">
        <v>45450</v>
      </c>
      <c r="H353" s="19" t="s">
        <v>44</v>
      </c>
      <c r="I353" s="19" t="s">
        <v>10</v>
      </c>
      <c r="J353" s="19" t="s">
        <v>21</v>
      </c>
      <c r="K353" s="19">
        <v>3</v>
      </c>
      <c r="L353" s="37">
        <v>927.29</v>
      </c>
      <c r="M353" s="19" t="s">
        <v>22</v>
      </c>
      <c r="N353" s="19">
        <v>22</v>
      </c>
      <c r="O353" s="20">
        <v>45631</v>
      </c>
      <c r="P353" s="19">
        <v>414</v>
      </c>
      <c r="Q353" s="19" t="s">
        <v>23</v>
      </c>
      <c r="S353" s="20">
        <v>45812</v>
      </c>
      <c r="T353" s="19" t="s">
        <v>24</v>
      </c>
      <c r="U353" s="39">
        <f>Table1[[#This Row],[QUANTITY]]*Table1[[#This Row],[PRICE]]</f>
        <v>2781.87</v>
      </c>
    </row>
    <row r="354" spans="1:21">
      <c r="A354" s="19" t="s">
        <v>742</v>
      </c>
      <c r="B354" s="19" t="s">
        <v>5</v>
      </c>
      <c r="C354" s="19" t="s">
        <v>27</v>
      </c>
      <c r="D354" s="19" t="s">
        <v>17</v>
      </c>
      <c r="E354" s="20">
        <v>45873</v>
      </c>
      <c r="F354" s="19" t="s">
        <v>743</v>
      </c>
      <c r="G354" s="20">
        <v>45450</v>
      </c>
      <c r="H354" s="19" t="s">
        <v>19</v>
      </c>
      <c r="I354" s="19" t="s">
        <v>37</v>
      </c>
      <c r="J354" s="19" t="s">
        <v>33</v>
      </c>
      <c r="K354" s="19">
        <v>3</v>
      </c>
      <c r="L354" s="37">
        <v>777.19</v>
      </c>
      <c r="M354" s="19" t="s">
        <v>38</v>
      </c>
      <c r="N354" s="19">
        <v>6</v>
      </c>
      <c r="O354" s="20">
        <v>45623</v>
      </c>
      <c r="P354" s="19">
        <v>236</v>
      </c>
      <c r="Q354" s="19" t="s">
        <v>13</v>
      </c>
      <c r="R354" s="19">
        <v>4</v>
      </c>
      <c r="S354" s="20">
        <v>45837</v>
      </c>
      <c r="T354" s="19" t="s">
        <v>34</v>
      </c>
      <c r="U354" s="39">
        <f>Table1[[#This Row],[QUANTITY]]*Table1[[#This Row],[PRICE]]</f>
        <v>2331.5700000000002</v>
      </c>
    </row>
    <row r="355" spans="1:21">
      <c r="A355" s="19" t="s">
        <v>744</v>
      </c>
      <c r="B355" s="19" t="s">
        <v>5</v>
      </c>
      <c r="C355" s="19" t="s">
        <v>16</v>
      </c>
      <c r="D355" s="19" t="s">
        <v>31</v>
      </c>
      <c r="E355" s="20">
        <v>45415</v>
      </c>
      <c r="F355" s="19" t="s">
        <v>745</v>
      </c>
      <c r="G355" s="20">
        <v>45450</v>
      </c>
      <c r="H355" s="19" t="s">
        <v>29</v>
      </c>
      <c r="I355" s="19" t="s">
        <v>20</v>
      </c>
      <c r="J355" s="19" t="s">
        <v>41</v>
      </c>
      <c r="K355" s="19">
        <v>4</v>
      </c>
      <c r="L355" s="37">
        <v>822.44</v>
      </c>
      <c r="M355" s="19" t="s">
        <v>22</v>
      </c>
      <c r="N355" s="19">
        <v>49</v>
      </c>
      <c r="O355" s="20">
        <v>45670</v>
      </c>
      <c r="P355" s="19">
        <v>51</v>
      </c>
      <c r="Q355" s="19" t="s">
        <v>23</v>
      </c>
      <c r="R355" s="19">
        <v>4</v>
      </c>
      <c r="S355" s="20">
        <v>45871</v>
      </c>
      <c r="T355" s="19" t="s">
        <v>34</v>
      </c>
      <c r="U355" s="39">
        <f>Table1[[#This Row],[QUANTITY]]*Table1[[#This Row],[PRICE]]</f>
        <v>3289.76</v>
      </c>
    </row>
    <row r="356" spans="1:21">
      <c r="A356" s="19" t="s">
        <v>746</v>
      </c>
      <c r="B356" s="19" t="s">
        <v>46</v>
      </c>
      <c r="C356" s="19" t="s">
        <v>6</v>
      </c>
      <c r="D356" s="19" t="s">
        <v>70</v>
      </c>
      <c r="E356" s="20">
        <v>45776</v>
      </c>
      <c r="F356" s="19" t="s">
        <v>747</v>
      </c>
      <c r="G356" s="20">
        <v>45451</v>
      </c>
      <c r="H356" s="19" t="s">
        <v>62</v>
      </c>
      <c r="I356" s="19" t="s">
        <v>10</v>
      </c>
      <c r="J356" s="19" t="s">
        <v>21</v>
      </c>
      <c r="K356" s="19">
        <v>2</v>
      </c>
      <c r="L356" s="37">
        <v>774.83</v>
      </c>
      <c r="M356" s="19" t="s">
        <v>38</v>
      </c>
      <c r="N356" s="19">
        <v>21</v>
      </c>
      <c r="O356" s="20">
        <v>45668</v>
      </c>
      <c r="P356" s="19">
        <v>158</v>
      </c>
      <c r="Q356" s="19" t="s">
        <v>23</v>
      </c>
      <c r="R356" s="19">
        <v>4</v>
      </c>
      <c r="S356" s="20">
        <v>45724</v>
      </c>
      <c r="T356" s="19" t="s">
        <v>34</v>
      </c>
      <c r="U356" s="39">
        <f>Table1[[#This Row],[QUANTITY]]*Table1[[#This Row],[PRICE]]</f>
        <v>1549.66</v>
      </c>
    </row>
    <row r="357" spans="1:21">
      <c r="A357" s="19" t="s">
        <v>748</v>
      </c>
      <c r="B357" s="19" t="s">
        <v>26</v>
      </c>
      <c r="C357" s="19" t="s">
        <v>27</v>
      </c>
      <c r="D357" s="19" t="s">
        <v>7</v>
      </c>
      <c r="E357" s="20">
        <v>45170</v>
      </c>
      <c r="F357" s="19" t="s">
        <v>749</v>
      </c>
      <c r="G357" s="20">
        <v>45451</v>
      </c>
      <c r="H357" s="19" t="s">
        <v>44</v>
      </c>
      <c r="I357" s="19" t="s">
        <v>55</v>
      </c>
      <c r="J357" s="19" t="s">
        <v>41</v>
      </c>
      <c r="K357" s="19">
        <v>5</v>
      </c>
      <c r="L357" s="37">
        <v>967.55</v>
      </c>
      <c r="M357" s="19" t="s">
        <v>22</v>
      </c>
      <c r="N357" s="19">
        <v>26</v>
      </c>
      <c r="O357" s="20">
        <v>45743</v>
      </c>
      <c r="P357" s="19">
        <v>435</v>
      </c>
      <c r="Q357" s="19" t="s">
        <v>23</v>
      </c>
      <c r="R357" s="19">
        <v>2</v>
      </c>
      <c r="S357" s="20">
        <v>45550</v>
      </c>
      <c r="T357" s="19" t="s">
        <v>34</v>
      </c>
      <c r="U357" s="39">
        <f>Table1[[#This Row],[QUANTITY]]*Table1[[#This Row],[PRICE]]</f>
        <v>4837.75</v>
      </c>
    </row>
    <row r="358" spans="1:21">
      <c r="A358" s="19" t="s">
        <v>750</v>
      </c>
      <c r="B358" s="19" t="s">
        <v>5</v>
      </c>
      <c r="C358" s="19" t="s">
        <v>16</v>
      </c>
      <c r="D358" s="19" t="s">
        <v>17</v>
      </c>
      <c r="E358" s="20">
        <v>45752</v>
      </c>
      <c r="F358" s="19" t="s">
        <v>751</v>
      </c>
      <c r="G358" s="20">
        <v>45451</v>
      </c>
      <c r="H358" s="19" t="s">
        <v>62</v>
      </c>
      <c r="I358" s="19" t="s">
        <v>51</v>
      </c>
      <c r="J358" s="19" t="s">
        <v>21</v>
      </c>
      <c r="K358" s="19">
        <v>3</v>
      </c>
      <c r="L358" s="37">
        <v>1391.23</v>
      </c>
      <c r="M358" s="19" t="s">
        <v>22</v>
      </c>
      <c r="N358" s="19">
        <v>50</v>
      </c>
      <c r="O358" s="20">
        <v>45840</v>
      </c>
      <c r="P358" s="19">
        <v>54</v>
      </c>
      <c r="Q358" s="19" t="s">
        <v>13</v>
      </c>
      <c r="R358" s="19">
        <v>1</v>
      </c>
      <c r="S358" s="20">
        <v>45841</v>
      </c>
      <c r="T358" s="19" t="s">
        <v>34</v>
      </c>
      <c r="U358" s="39">
        <f>Table1[[#This Row],[QUANTITY]]*Table1[[#This Row],[PRICE]]</f>
        <v>4173.6900000000005</v>
      </c>
    </row>
    <row r="359" spans="1:21">
      <c r="A359" s="19" t="s">
        <v>752</v>
      </c>
      <c r="B359" s="19" t="s">
        <v>5</v>
      </c>
      <c r="C359" s="19" t="s">
        <v>27</v>
      </c>
      <c r="D359" s="19" t="s">
        <v>53</v>
      </c>
      <c r="E359" s="20">
        <v>45238</v>
      </c>
      <c r="F359" s="19" t="s">
        <v>753</v>
      </c>
      <c r="G359" s="20">
        <v>45451</v>
      </c>
      <c r="H359" s="19" t="s">
        <v>19</v>
      </c>
      <c r="I359" s="19" t="s">
        <v>51</v>
      </c>
      <c r="J359" s="19" t="s">
        <v>41</v>
      </c>
      <c r="K359" s="19">
        <v>5</v>
      </c>
      <c r="L359" s="37">
        <v>1012.9</v>
      </c>
      <c r="M359" s="19" t="s">
        <v>12</v>
      </c>
      <c r="N359" s="19">
        <v>16</v>
      </c>
      <c r="O359" s="20">
        <v>45780</v>
      </c>
      <c r="P359" s="19">
        <v>394</v>
      </c>
      <c r="Q359" s="19" t="s">
        <v>23</v>
      </c>
      <c r="R359" s="19">
        <v>4</v>
      </c>
      <c r="S359" s="20">
        <v>45582</v>
      </c>
      <c r="T359" s="19" t="s">
        <v>14</v>
      </c>
      <c r="U359" s="39">
        <f>Table1[[#This Row],[QUANTITY]]*Table1[[#This Row],[PRICE]]</f>
        <v>5064.5</v>
      </c>
    </row>
    <row r="360" spans="1:21">
      <c r="A360" s="19" t="s">
        <v>754</v>
      </c>
      <c r="B360" s="19" t="s">
        <v>26</v>
      </c>
      <c r="C360" s="19" t="s">
        <v>6</v>
      </c>
      <c r="D360" s="19" t="s">
        <v>53</v>
      </c>
      <c r="E360" s="20">
        <v>45793</v>
      </c>
      <c r="F360" s="19" t="s">
        <v>755</v>
      </c>
      <c r="G360" s="20">
        <v>45451</v>
      </c>
      <c r="H360" s="19" t="s">
        <v>62</v>
      </c>
      <c r="I360" s="19" t="s">
        <v>37</v>
      </c>
      <c r="J360" s="19" t="s">
        <v>48</v>
      </c>
      <c r="K360" s="19">
        <v>5</v>
      </c>
      <c r="L360" s="37">
        <v>729.72</v>
      </c>
      <c r="M360" s="19" t="s">
        <v>12</v>
      </c>
      <c r="N360" s="19">
        <v>18</v>
      </c>
      <c r="O360" s="20">
        <v>45864</v>
      </c>
      <c r="P360" s="19">
        <v>381</v>
      </c>
      <c r="Q360" s="19" t="s">
        <v>23</v>
      </c>
      <c r="R360" s="19">
        <v>5</v>
      </c>
      <c r="S360" s="20">
        <v>45817</v>
      </c>
      <c r="T360" s="19" t="s">
        <v>34</v>
      </c>
      <c r="U360" s="39">
        <f>Table1[[#This Row],[QUANTITY]]*Table1[[#This Row],[PRICE]]</f>
        <v>3648.6000000000004</v>
      </c>
    </row>
    <row r="361" spans="1:21">
      <c r="A361" s="19" t="s">
        <v>756</v>
      </c>
      <c r="B361" s="19" t="s">
        <v>26</v>
      </c>
      <c r="C361" s="19" t="s">
        <v>16</v>
      </c>
      <c r="D361" s="19" t="s">
        <v>53</v>
      </c>
      <c r="E361" s="20">
        <v>45652</v>
      </c>
      <c r="F361" s="19" t="s">
        <v>757</v>
      </c>
      <c r="G361" s="20">
        <v>45451</v>
      </c>
      <c r="H361" s="19" t="s">
        <v>29</v>
      </c>
      <c r="I361" s="19" t="s">
        <v>37</v>
      </c>
      <c r="J361" s="19" t="s">
        <v>48</v>
      </c>
      <c r="K361" s="19">
        <v>4</v>
      </c>
      <c r="L361" s="37">
        <v>1009.09</v>
      </c>
      <c r="M361" s="19" t="s">
        <v>38</v>
      </c>
      <c r="N361" s="19">
        <v>7</v>
      </c>
      <c r="O361" s="20">
        <v>45770</v>
      </c>
      <c r="P361" s="19">
        <v>342</v>
      </c>
      <c r="Q361" s="19" t="s">
        <v>23</v>
      </c>
      <c r="R361" s="19">
        <v>4</v>
      </c>
      <c r="S361" s="20">
        <v>45568</v>
      </c>
      <c r="T361" s="19" t="s">
        <v>14</v>
      </c>
      <c r="U361" s="39">
        <f>Table1[[#This Row],[QUANTITY]]*Table1[[#This Row],[PRICE]]</f>
        <v>4036.36</v>
      </c>
    </row>
    <row r="362" spans="1:21">
      <c r="A362" s="19" t="s">
        <v>758</v>
      </c>
      <c r="B362" s="19" t="s">
        <v>46</v>
      </c>
      <c r="C362" s="19" t="s">
        <v>27</v>
      </c>
      <c r="D362" s="19" t="s">
        <v>70</v>
      </c>
      <c r="E362" s="20">
        <v>45797</v>
      </c>
      <c r="F362" s="19" t="s">
        <v>759</v>
      </c>
      <c r="G362" s="20">
        <v>45451</v>
      </c>
      <c r="H362" s="19" t="s">
        <v>9</v>
      </c>
      <c r="I362" s="19" t="s">
        <v>55</v>
      </c>
      <c r="J362" s="19" t="s">
        <v>48</v>
      </c>
      <c r="K362" s="19">
        <v>1</v>
      </c>
      <c r="L362" s="37">
        <v>1485.59</v>
      </c>
      <c r="M362" s="19" t="s">
        <v>22</v>
      </c>
      <c r="N362" s="19">
        <v>43</v>
      </c>
      <c r="O362" s="20">
        <v>45782</v>
      </c>
      <c r="P362" s="19">
        <v>45</v>
      </c>
      <c r="Q362" s="19" t="s">
        <v>23</v>
      </c>
      <c r="R362" s="19">
        <v>1</v>
      </c>
      <c r="S362" s="20">
        <v>45822</v>
      </c>
      <c r="T362" s="19" t="s">
        <v>14</v>
      </c>
      <c r="U362" s="39">
        <f>Table1[[#This Row],[QUANTITY]]*Table1[[#This Row],[PRICE]]</f>
        <v>1485.59</v>
      </c>
    </row>
    <row r="363" spans="1:21">
      <c r="A363" s="19" t="s">
        <v>760</v>
      </c>
      <c r="B363" s="19" t="s">
        <v>5</v>
      </c>
      <c r="C363" s="19" t="s">
        <v>27</v>
      </c>
      <c r="D363" s="19" t="s">
        <v>53</v>
      </c>
      <c r="E363" s="20">
        <v>45735</v>
      </c>
      <c r="F363" s="19" t="s">
        <v>761</v>
      </c>
      <c r="G363" s="20">
        <v>45451</v>
      </c>
      <c r="H363" s="19" t="s">
        <v>44</v>
      </c>
      <c r="I363" s="19" t="s">
        <v>10</v>
      </c>
      <c r="J363" s="19" t="s">
        <v>21</v>
      </c>
      <c r="K363" s="19">
        <v>3</v>
      </c>
      <c r="L363" s="37">
        <v>938.59</v>
      </c>
      <c r="M363" s="19" t="s">
        <v>38</v>
      </c>
      <c r="N363" s="19">
        <v>21</v>
      </c>
      <c r="O363" s="20">
        <v>45653</v>
      </c>
      <c r="P363" s="19">
        <v>220</v>
      </c>
      <c r="Q363" s="19" t="s">
        <v>13</v>
      </c>
      <c r="S363" s="20">
        <v>45726</v>
      </c>
      <c r="T363" s="19" t="s">
        <v>24</v>
      </c>
      <c r="U363" s="39">
        <f>Table1[[#This Row],[QUANTITY]]*Table1[[#This Row],[PRICE]]</f>
        <v>2815.77</v>
      </c>
    </row>
    <row r="364" spans="1:21">
      <c r="A364" s="19" t="s">
        <v>762</v>
      </c>
      <c r="B364" s="19" t="s">
        <v>26</v>
      </c>
      <c r="C364" s="19" t="s">
        <v>27</v>
      </c>
      <c r="D364" s="19" t="s">
        <v>7</v>
      </c>
      <c r="E364" s="20">
        <v>45445</v>
      </c>
      <c r="F364" s="19" t="s">
        <v>763</v>
      </c>
      <c r="G364" s="20">
        <v>45451</v>
      </c>
      <c r="H364" s="19" t="s">
        <v>29</v>
      </c>
      <c r="I364" s="19" t="s">
        <v>51</v>
      </c>
      <c r="J364" s="19" t="s">
        <v>41</v>
      </c>
      <c r="K364" s="19">
        <v>3</v>
      </c>
      <c r="L364" s="37">
        <v>407.81</v>
      </c>
      <c r="M364" s="19" t="s">
        <v>12</v>
      </c>
      <c r="N364" s="19">
        <v>46</v>
      </c>
      <c r="O364" s="20">
        <v>45665</v>
      </c>
      <c r="P364" s="19">
        <v>343</v>
      </c>
      <c r="Q364" s="19" t="s">
        <v>23</v>
      </c>
      <c r="S364" s="20">
        <v>45586</v>
      </c>
      <c r="T364" s="19" t="s">
        <v>24</v>
      </c>
      <c r="U364" s="39">
        <f>Table1[[#This Row],[QUANTITY]]*Table1[[#This Row],[PRICE]]</f>
        <v>1223.43</v>
      </c>
    </row>
    <row r="365" spans="1:21">
      <c r="A365" s="19" t="s">
        <v>764</v>
      </c>
      <c r="B365" s="19" t="s">
        <v>46</v>
      </c>
      <c r="C365" s="19" t="s">
        <v>6</v>
      </c>
      <c r="D365" s="19" t="s">
        <v>17</v>
      </c>
      <c r="E365" s="20">
        <v>45767</v>
      </c>
      <c r="F365" s="19" t="s">
        <v>765</v>
      </c>
      <c r="G365" s="20">
        <v>45452</v>
      </c>
      <c r="H365" s="19" t="s">
        <v>44</v>
      </c>
      <c r="I365" s="19" t="s">
        <v>55</v>
      </c>
      <c r="J365" s="19" t="s">
        <v>41</v>
      </c>
      <c r="K365" s="19">
        <v>5</v>
      </c>
      <c r="L365" s="37">
        <v>1253.8900000000001</v>
      </c>
      <c r="M365" s="19" t="s">
        <v>22</v>
      </c>
      <c r="N365" s="19">
        <v>43</v>
      </c>
      <c r="O365" s="20">
        <v>45826</v>
      </c>
      <c r="P365" s="19">
        <v>80</v>
      </c>
      <c r="Q365" s="19" t="s">
        <v>23</v>
      </c>
      <c r="S365" s="20">
        <v>45676</v>
      </c>
      <c r="T365" s="19" t="s">
        <v>24</v>
      </c>
      <c r="U365" s="39">
        <f>Table1[[#This Row],[QUANTITY]]*Table1[[#This Row],[PRICE]]</f>
        <v>6269.4500000000007</v>
      </c>
    </row>
    <row r="366" spans="1:21">
      <c r="A366" s="19" t="s">
        <v>766</v>
      </c>
      <c r="B366" s="19" t="s">
        <v>5</v>
      </c>
      <c r="C366" s="19" t="s">
        <v>6</v>
      </c>
      <c r="D366" s="19" t="s">
        <v>70</v>
      </c>
      <c r="E366" s="20">
        <v>45819</v>
      </c>
      <c r="F366" s="19" t="s">
        <v>767</v>
      </c>
      <c r="G366" s="20">
        <v>45452</v>
      </c>
      <c r="H366" s="19" t="s">
        <v>19</v>
      </c>
      <c r="I366" s="19" t="s">
        <v>10</v>
      </c>
      <c r="J366" s="19" t="s">
        <v>21</v>
      </c>
      <c r="K366" s="19">
        <v>1</v>
      </c>
      <c r="L366" s="37">
        <v>1205.3399999999999</v>
      </c>
      <c r="M366" s="19" t="s">
        <v>38</v>
      </c>
      <c r="N366" s="19">
        <v>36</v>
      </c>
      <c r="O366" s="20">
        <v>45734</v>
      </c>
      <c r="P366" s="19">
        <v>103</v>
      </c>
      <c r="Q366" s="19" t="s">
        <v>23</v>
      </c>
      <c r="S366" s="20">
        <v>45729</v>
      </c>
      <c r="T366" s="19" t="s">
        <v>24</v>
      </c>
      <c r="U366" s="39">
        <f>Table1[[#This Row],[QUANTITY]]*Table1[[#This Row],[PRICE]]</f>
        <v>1205.3399999999999</v>
      </c>
    </row>
    <row r="367" spans="1:21">
      <c r="A367" s="19" t="s">
        <v>768</v>
      </c>
      <c r="B367" s="19" t="s">
        <v>46</v>
      </c>
      <c r="C367" s="19" t="s">
        <v>27</v>
      </c>
      <c r="D367" s="19" t="s">
        <v>17</v>
      </c>
      <c r="E367" s="20">
        <v>45273</v>
      </c>
      <c r="F367" s="19" t="s">
        <v>769</v>
      </c>
      <c r="G367" s="20">
        <v>45452</v>
      </c>
      <c r="H367" s="19" t="s">
        <v>62</v>
      </c>
      <c r="I367" s="19" t="s">
        <v>55</v>
      </c>
      <c r="J367" s="19" t="s">
        <v>41</v>
      </c>
      <c r="K367" s="19">
        <v>3</v>
      </c>
      <c r="L367" s="37">
        <v>489.26</v>
      </c>
      <c r="M367" s="19" t="s">
        <v>22</v>
      </c>
      <c r="N367" s="19">
        <v>4</v>
      </c>
      <c r="O367" s="20">
        <v>45567</v>
      </c>
      <c r="P367" s="19">
        <v>266</v>
      </c>
      <c r="Q367" s="19" t="s">
        <v>23</v>
      </c>
      <c r="R367" s="19">
        <v>2</v>
      </c>
      <c r="S367" s="20">
        <v>45565</v>
      </c>
      <c r="T367" s="19" t="s">
        <v>14</v>
      </c>
      <c r="U367" s="39">
        <f>Table1[[#This Row],[QUANTITY]]*Table1[[#This Row],[PRICE]]</f>
        <v>1467.78</v>
      </c>
    </row>
    <row r="368" spans="1:21">
      <c r="A368" s="19" t="s">
        <v>770</v>
      </c>
      <c r="B368" s="19" t="s">
        <v>26</v>
      </c>
      <c r="C368" s="19" t="s">
        <v>27</v>
      </c>
      <c r="D368" s="19" t="s">
        <v>17</v>
      </c>
      <c r="E368" s="20">
        <v>45751</v>
      </c>
      <c r="F368" s="19" t="s">
        <v>771</v>
      </c>
      <c r="G368" s="20">
        <v>45452</v>
      </c>
      <c r="H368" s="19" t="s">
        <v>44</v>
      </c>
      <c r="I368" s="19" t="s">
        <v>37</v>
      </c>
      <c r="J368" s="19" t="s">
        <v>33</v>
      </c>
      <c r="K368" s="19">
        <v>4</v>
      </c>
      <c r="L368" s="37">
        <v>568.28</v>
      </c>
      <c r="M368" s="19" t="s">
        <v>12</v>
      </c>
      <c r="N368" s="19">
        <v>46</v>
      </c>
      <c r="O368" s="20">
        <v>45779</v>
      </c>
      <c r="P368" s="19">
        <v>182</v>
      </c>
      <c r="Q368" s="19" t="s">
        <v>13</v>
      </c>
      <c r="R368" s="19">
        <v>5</v>
      </c>
      <c r="S368" s="20">
        <v>45857</v>
      </c>
      <c r="T368" s="19" t="s">
        <v>34</v>
      </c>
      <c r="U368" s="39">
        <f>Table1[[#This Row],[QUANTITY]]*Table1[[#This Row],[PRICE]]</f>
        <v>2273.12</v>
      </c>
    </row>
    <row r="369" spans="1:21">
      <c r="A369" s="19" t="s">
        <v>772</v>
      </c>
      <c r="B369" s="19" t="s">
        <v>5</v>
      </c>
      <c r="C369" s="19" t="s">
        <v>6</v>
      </c>
      <c r="D369" s="19" t="s">
        <v>7</v>
      </c>
      <c r="E369" s="20">
        <v>45449</v>
      </c>
      <c r="F369" s="19" t="s">
        <v>773</v>
      </c>
      <c r="G369" s="20">
        <v>45452</v>
      </c>
      <c r="H369" s="19" t="s">
        <v>44</v>
      </c>
      <c r="I369" s="19" t="s">
        <v>55</v>
      </c>
      <c r="J369" s="19" t="s">
        <v>11</v>
      </c>
      <c r="K369" s="19">
        <v>3</v>
      </c>
      <c r="L369" s="37">
        <v>917.47</v>
      </c>
      <c r="M369" s="19" t="s">
        <v>12</v>
      </c>
      <c r="N369" s="19">
        <v>17</v>
      </c>
      <c r="O369" s="20">
        <v>45731</v>
      </c>
      <c r="P369" s="19">
        <v>173</v>
      </c>
      <c r="Q369" s="19" t="s">
        <v>13</v>
      </c>
      <c r="S369" s="20">
        <v>45791</v>
      </c>
      <c r="T369" s="19" t="s">
        <v>24</v>
      </c>
      <c r="U369" s="39">
        <f>Table1[[#This Row],[QUANTITY]]*Table1[[#This Row],[PRICE]]</f>
        <v>2752.41</v>
      </c>
    </row>
    <row r="370" spans="1:21">
      <c r="A370" s="19" t="s">
        <v>774</v>
      </c>
      <c r="B370" s="19" t="s">
        <v>46</v>
      </c>
      <c r="C370" s="19" t="s">
        <v>27</v>
      </c>
      <c r="D370" s="19" t="s">
        <v>53</v>
      </c>
      <c r="E370" s="20">
        <v>45767</v>
      </c>
      <c r="F370" s="19" t="s">
        <v>775</v>
      </c>
      <c r="G370" s="20">
        <v>45452</v>
      </c>
      <c r="H370" s="19" t="s">
        <v>19</v>
      </c>
      <c r="I370" s="19" t="s">
        <v>37</v>
      </c>
      <c r="J370" s="19" t="s">
        <v>48</v>
      </c>
      <c r="K370" s="19">
        <v>2</v>
      </c>
      <c r="L370" s="37">
        <v>1425.04</v>
      </c>
      <c r="M370" s="19" t="s">
        <v>12</v>
      </c>
      <c r="N370" s="19">
        <v>31</v>
      </c>
      <c r="O370" s="20">
        <v>45848</v>
      </c>
      <c r="P370" s="19">
        <v>100</v>
      </c>
      <c r="Q370" s="19" t="s">
        <v>13</v>
      </c>
      <c r="S370" s="20">
        <v>45845</v>
      </c>
      <c r="T370" s="19" t="s">
        <v>24</v>
      </c>
      <c r="U370" s="39">
        <f>Table1[[#This Row],[QUANTITY]]*Table1[[#This Row],[PRICE]]</f>
        <v>2850.08</v>
      </c>
    </row>
    <row r="371" spans="1:21">
      <c r="A371" s="19" t="s">
        <v>776</v>
      </c>
      <c r="B371" s="19" t="s">
        <v>46</v>
      </c>
      <c r="C371" s="19" t="s">
        <v>6</v>
      </c>
      <c r="D371" s="19" t="s">
        <v>70</v>
      </c>
      <c r="E371" s="20">
        <v>45276</v>
      </c>
      <c r="F371" s="19" t="s">
        <v>777</v>
      </c>
      <c r="G371" s="20">
        <v>45452</v>
      </c>
      <c r="H371" s="19" t="s">
        <v>29</v>
      </c>
      <c r="I371" s="19" t="s">
        <v>51</v>
      </c>
      <c r="J371" s="19" t="s">
        <v>21</v>
      </c>
      <c r="K371" s="19">
        <v>3</v>
      </c>
      <c r="L371" s="37">
        <v>1193.5899999999999</v>
      </c>
      <c r="M371" s="19" t="s">
        <v>12</v>
      </c>
      <c r="N371" s="19">
        <v>35</v>
      </c>
      <c r="O371" s="20">
        <v>45804</v>
      </c>
      <c r="P371" s="19">
        <v>253</v>
      </c>
      <c r="Q371" s="19" t="s">
        <v>23</v>
      </c>
      <c r="R371" s="19">
        <v>4</v>
      </c>
      <c r="S371" s="20">
        <v>45776</v>
      </c>
      <c r="T371" s="19" t="s">
        <v>14</v>
      </c>
      <c r="U371" s="39">
        <f>Table1[[#This Row],[QUANTITY]]*Table1[[#This Row],[PRICE]]</f>
        <v>3580.7699999999995</v>
      </c>
    </row>
    <row r="372" spans="1:21">
      <c r="A372" s="19" t="s">
        <v>778</v>
      </c>
      <c r="B372" s="19" t="s">
        <v>5</v>
      </c>
      <c r="C372" s="19" t="s">
        <v>27</v>
      </c>
      <c r="D372" s="19" t="s">
        <v>31</v>
      </c>
      <c r="E372" s="20">
        <v>45573</v>
      </c>
      <c r="F372" s="19" t="s">
        <v>779</v>
      </c>
      <c r="G372" s="20">
        <v>45452</v>
      </c>
      <c r="H372" s="19" t="s">
        <v>62</v>
      </c>
      <c r="I372" s="19" t="s">
        <v>20</v>
      </c>
      <c r="J372" s="19" t="s">
        <v>48</v>
      </c>
      <c r="K372" s="19">
        <v>5</v>
      </c>
      <c r="L372" s="37">
        <v>219.85</v>
      </c>
      <c r="M372" s="19" t="s">
        <v>38</v>
      </c>
      <c r="N372" s="19">
        <v>41</v>
      </c>
      <c r="O372" s="20">
        <v>45786</v>
      </c>
      <c r="P372" s="19">
        <v>360</v>
      </c>
      <c r="Q372" s="19" t="s">
        <v>23</v>
      </c>
      <c r="R372" s="19">
        <v>3</v>
      </c>
      <c r="S372" s="20">
        <v>45582</v>
      </c>
      <c r="T372" s="19" t="s">
        <v>34</v>
      </c>
      <c r="U372" s="39">
        <f>Table1[[#This Row],[QUANTITY]]*Table1[[#This Row],[PRICE]]</f>
        <v>1099.25</v>
      </c>
    </row>
    <row r="373" spans="1:21">
      <c r="A373" s="19" t="s">
        <v>780</v>
      </c>
      <c r="B373" s="19" t="s">
        <v>46</v>
      </c>
      <c r="C373" s="19" t="s">
        <v>6</v>
      </c>
      <c r="D373" s="19" t="s">
        <v>31</v>
      </c>
      <c r="E373" s="20">
        <v>45637</v>
      </c>
      <c r="F373" s="19" t="s">
        <v>781</v>
      </c>
      <c r="G373" s="20">
        <v>45452</v>
      </c>
      <c r="H373" s="19" t="s">
        <v>29</v>
      </c>
      <c r="I373" s="19" t="s">
        <v>10</v>
      </c>
      <c r="J373" s="19" t="s">
        <v>48</v>
      </c>
      <c r="K373" s="19">
        <v>3</v>
      </c>
      <c r="L373" s="37">
        <v>459.7</v>
      </c>
      <c r="M373" s="19" t="s">
        <v>12</v>
      </c>
      <c r="N373" s="19">
        <v>10</v>
      </c>
      <c r="O373" s="20">
        <v>45802</v>
      </c>
      <c r="P373" s="19">
        <v>416</v>
      </c>
      <c r="Q373" s="19" t="s">
        <v>13</v>
      </c>
      <c r="S373" s="20">
        <v>45658</v>
      </c>
      <c r="T373" s="19" t="s">
        <v>24</v>
      </c>
      <c r="U373" s="39">
        <f>Table1[[#This Row],[QUANTITY]]*Table1[[#This Row],[PRICE]]</f>
        <v>1379.1</v>
      </c>
    </row>
    <row r="374" spans="1:21">
      <c r="A374" s="19" t="s">
        <v>782</v>
      </c>
      <c r="B374" s="19" t="s">
        <v>46</v>
      </c>
      <c r="C374" s="19" t="s">
        <v>6</v>
      </c>
      <c r="D374" s="19" t="s">
        <v>53</v>
      </c>
      <c r="E374" s="20">
        <v>45716</v>
      </c>
      <c r="F374" s="19" t="s">
        <v>783</v>
      </c>
      <c r="G374" s="20">
        <v>45452</v>
      </c>
      <c r="H374" s="19" t="s">
        <v>44</v>
      </c>
      <c r="I374" s="19" t="s">
        <v>20</v>
      </c>
      <c r="J374" s="19" t="s">
        <v>11</v>
      </c>
      <c r="K374" s="19">
        <v>1</v>
      </c>
      <c r="L374" s="37">
        <v>1306.3800000000001</v>
      </c>
      <c r="M374" s="19" t="s">
        <v>38</v>
      </c>
      <c r="N374" s="19">
        <v>25</v>
      </c>
      <c r="O374" s="20">
        <v>45576</v>
      </c>
      <c r="P374" s="19">
        <v>199</v>
      </c>
      <c r="Q374" s="19" t="s">
        <v>13</v>
      </c>
      <c r="R374" s="19">
        <v>1</v>
      </c>
      <c r="S374" s="20">
        <v>45664</v>
      </c>
      <c r="T374" s="19" t="s">
        <v>34</v>
      </c>
      <c r="U374" s="39">
        <f>Table1[[#This Row],[QUANTITY]]*Table1[[#This Row],[PRICE]]</f>
        <v>1306.3800000000001</v>
      </c>
    </row>
    <row r="375" spans="1:21">
      <c r="A375" s="19" t="s">
        <v>784</v>
      </c>
      <c r="B375" s="19" t="s">
        <v>5</v>
      </c>
      <c r="C375" s="19" t="s">
        <v>16</v>
      </c>
      <c r="D375" s="19" t="s">
        <v>53</v>
      </c>
      <c r="E375" s="20">
        <v>45346</v>
      </c>
      <c r="F375" s="19" t="s">
        <v>785</v>
      </c>
      <c r="G375" s="20">
        <v>45453</v>
      </c>
      <c r="H375" s="19" t="s">
        <v>62</v>
      </c>
      <c r="I375" s="19" t="s">
        <v>20</v>
      </c>
      <c r="J375" s="19" t="s">
        <v>11</v>
      </c>
      <c r="K375" s="19">
        <v>5</v>
      </c>
      <c r="L375" s="37">
        <v>573.13</v>
      </c>
      <c r="M375" s="19" t="s">
        <v>22</v>
      </c>
      <c r="N375" s="19">
        <v>14</v>
      </c>
      <c r="O375" s="20">
        <v>45666</v>
      </c>
      <c r="P375" s="19">
        <v>93</v>
      </c>
      <c r="Q375" s="19" t="s">
        <v>13</v>
      </c>
      <c r="R375" s="19">
        <v>5</v>
      </c>
      <c r="S375" s="20">
        <v>45653</v>
      </c>
      <c r="T375" s="19" t="s">
        <v>14</v>
      </c>
      <c r="U375" s="39">
        <f>Table1[[#This Row],[QUANTITY]]*Table1[[#This Row],[PRICE]]</f>
        <v>2865.65</v>
      </c>
    </row>
    <row r="376" spans="1:21">
      <c r="A376" s="19" t="s">
        <v>786</v>
      </c>
      <c r="B376" s="19" t="s">
        <v>5</v>
      </c>
      <c r="C376" s="19" t="s">
        <v>16</v>
      </c>
      <c r="D376" s="19" t="s">
        <v>7</v>
      </c>
      <c r="E376" s="20">
        <v>45183</v>
      </c>
      <c r="F376" s="19" t="s">
        <v>787</v>
      </c>
      <c r="G376" s="20">
        <v>45453</v>
      </c>
      <c r="H376" s="19" t="s">
        <v>19</v>
      </c>
      <c r="I376" s="19" t="s">
        <v>51</v>
      </c>
      <c r="J376" s="19" t="s">
        <v>11</v>
      </c>
      <c r="K376" s="19">
        <v>5</v>
      </c>
      <c r="L376" s="37">
        <v>1329.17</v>
      </c>
      <c r="M376" s="19" t="s">
        <v>22</v>
      </c>
      <c r="N376" s="19">
        <v>42</v>
      </c>
      <c r="O376" s="20">
        <v>45569</v>
      </c>
      <c r="P376" s="19">
        <v>191</v>
      </c>
      <c r="Q376" s="19" t="s">
        <v>23</v>
      </c>
      <c r="R376" s="19">
        <v>2</v>
      </c>
      <c r="S376" s="20">
        <v>45830</v>
      </c>
      <c r="T376" s="19" t="s">
        <v>34</v>
      </c>
      <c r="U376" s="39">
        <f>Table1[[#This Row],[QUANTITY]]*Table1[[#This Row],[PRICE]]</f>
        <v>6645.85</v>
      </c>
    </row>
    <row r="377" spans="1:21">
      <c r="A377" s="19" t="s">
        <v>788</v>
      </c>
      <c r="B377" s="19" t="s">
        <v>46</v>
      </c>
      <c r="C377" s="19" t="s">
        <v>6</v>
      </c>
      <c r="D377" s="19" t="s">
        <v>70</v>
      </c>
      <c r="E377" s="20">
        <v>45577</v>
      </c>
      <c r="F377" s="19" t="s">
        <v>789</v>
      </c>
      <c r="G377" s="20">
        <v>45453</v>
      </c>
      <c r="H377" s="19" t="s">
        <v>19</v>
      </c>
      <c r="I377" s="19" t="s">
        <v>51</v>
      </c>
      <c r="J377" s="19" t="s">
        <v>41</v>
      </c>
      <c r="K377" s="19">
        <v>2</v>
      </c>
      <c r="L377" s="37">
        <v>946.78</v>
      </c>
      <c r="M377" s="19" t="s">
        <v>12</v>
      </c>
      <c r="N377" s="19">
        <v>1</v>
      </c>
      <c r="O377" s="20">
        <v>45798</v>
      </c>
      <c r="P377" s="19">
        <v>368</v>
      </c>
      <c r="Q377" s="19" t="s">
        <v>23</v>
      </c>
      <c r="S377" s="20">
        <v>45667</v>
      </c>
      <c r="T377" s="19" t="s">
        <v>24</v>
      </c>
      <c r="U377" s="39">
        <f>Table1[[#This Row],[QUANTITY]]*Table1[[#This Row],[PRICE]]</f>
        <v>1893.56</v>
      </c>
    </row>
    <row r="378" spans="1:21">
      <c r="A378" s="19" t="s">
        <v>790</v>
      </c>
      <c r="B378" s="19" t="s">
        <v>5</v>
      </c>
      <c r="C378" s="19" t="s">
        <v>27</v>
      </c>
      <c r="D378" s="19" t="s">
        <v>53</v>
      </c>
      <c r="E378" s="20">
        <v>45698</v>
      </c>
      <c r="F378" s="19" t="s">
        <v>791</v>
      </c>
      <c r="G378" s="20">
        <v>45453</v>
      </c>
      <c r="H378" s="19" t="s">
        <v>62</v>
      </c>
      <c r="I378" s="19" t="s">
        <v>37</v>
      </c>
      <c r="J378" s="19" t="s">
        <v>21</v>
      </c>
      <c r="K378" s="19">
        <v>2</v>
      </c>
      <c r="L378" s="37">
        <v>1296.74</v>
      </c>
      <c r="M378" s="19" t="s">
        <v>12</v>
      </c>
      <c r="N378" s="19">
        <v>50</v>
      </c>
      <c r="O378" s="20">
        <v>45694</v>
      </c>
      <c r="P378" s="19">
        <v>274</v>
      </c>
      <c r="Q378" s="19" t="s">
        <v>13</v>
      </c>
      <c r="R378" s="19">
        <v>4</v>
      </c>
      <c r="S378" s="20">
        <v>45817</v>
      </c>
      <c r="T378" s="19" t="s">
        <v>14</v>
      </c>
      <c r="U378" s="39">
        <f>Table1[[#This Row],[QUANTITY]]*Table1[[#This Row],[PRICE]]</f>
        <v>2593.48</v>
      </c>
    </row>
    <row r="379" spans="1:21">
      <c r="A379" s="19" t="s">
        <v>792</v>
      </c>
      <c r="B379" s="19" t="s">
        <v>26</v>
      </c>
      <c r="C379" s="19" t="s">
        <v>16</v>
      </c>
      <c r="D379" s="19" t="s">
        <v>17</v>
      </c>
      <c r="E379" s="20">
        <v>45211</v>
      </c>
      <c r="F379" s="19" t="s">
        <v>793</v>
      </c>
      <c r="G379" s="20">
        <v>45453</v>
      </c>
      <c r="H379" s="19" t="s">
        <v>62</v>
      </c>
      <c r="I379" s="19" t="s">
        <v>10</v>
      </c>
      <c r="J379" s="19" t="s">
        <v>48</v>
      </c>
      <c r="K379" s="19">
        <v>3</v>
      </c>
      <c r="L379" s="37">
        <v>589.41999999999996</v>
      </c>
      <c r="M379" s="19" t="s">
        <v>22</v>
      </c>
      <c r="N379" s="19">
        <v>23</v>
      </c>
      <c r="O379" s="20">
        <v>45545</v>
      </c>
      <c r="P379" s="19">
        <v>94</v>
      </c>
      <c r="Q379" s="19" t="s">
        <v>23</v>
      </c>
      <c r="R379" s="19">
        <v>3</v>
      </c>
      <c r="S379" s="20">
        <v>45771</v>
      </c>
      <c r="T379" s="19" t="s">
        <v>14</v>
      </c>
      <c r="U379" s="39">
        <f>Table1[[#This Row],[QUANTITY]]*Table1[[#This Row],[PRICE]]</f>
        <v>1768.2599999999998</v>
      </c>
    </row>
    <row r="380" spans="1:21">
      <c r="A380" s="19" t="s">
        <v>794</v>
      </c>
      <c r="B380" s="19" t="s">
        <v>26</v>
      </c>
      <c r="C380" s="19" t="s">
        <v>27</v>
      </c>
      <c r="D380" s="19" t="s">
        <v>70</v>
      </c>
      <c r="E380" s="20">
        <v>45652</v>
      </c>
      <c r="F380" s="19" t="s">
        <v>795</v>
      </c>
      <c r="G380" s="20">
        <v>45453</v>
      </c>
      <c r="H380" s="19" t="s">
        <v>19</v>
      </c>
      <c r="I380" s="19" t="s">
        <v>51</v>
      </c>
      <c r="J380" s="19" t="s">
        <v>21</v>
      </c>
      <c r="K380" s="19">
        <v>3</v>
      </c>
      <c r="L380" s="37">
        <v>823.1</v>
      </c>
      <c r="M380" s="19" t="s">
        <v>22</v>
      </c>
      <c r="N380" s="19">
        <v>14</v>
      </c>
      <c r="O380" s="20">
        <v>45612</v>
      </c>
      <c r="P380" s="19">
        <v>169</v>
      </c>
      <c r="Q380" s="19" t="s">
        <v>23</v>
      </c>
      <c r="R380" s="19">
        <v>1</v>
      </c>
      <c r="S380" s="20">
        <v>45828</v>
      </c>
      <c r="T380" s="19" t="s">
        <v>34</v>
      </c>
      <c r="U380" s="39">
        <f>Table1[[#This Row],[QUANTITY]]*Table1[[#This Row],[PRICE]]</f>
        <v>2469.3000000000002</v>
      </c>
    </row>
    <row r="381" spans="1:21">
      <c r="A381" s="19" t="s">
        <v>796</v>
      </c>
      <c r="B381" s="19" t="s">
        <v>46</v>
      </c>
      <c r="C381" s="19" t="s">
        <v>27</v>
      </c>
      <c r="D381" s="19" t="s">
        <v>53</v>
      </c>
      <c r="E381" s="20">
        <v>45345</v>
      </c>
      <c r="F381" s="19" t="s">
        <v>797</v>
      </c>
      <c r="G381" s="20">
        <v>45453</v>
      </c>
      <c r="H381" s="19" t="s">
        <v>44</v>
      </c>
      <c r="I381" s="19" t="s">
        <v>20</v>
      </c>
      <c r="J381" s="19" t="s">
        <v>11</v>
      </c>
      <c r="K381" s="19">
        <v>2</v>
      </c>
      <c r="L381" s="37">
        <v>735.58</v>
      </c>
      <c r="M381" s="19" t="s">
        <v>38</v>
      </c>
      <c r="N381" s="19">
        <v>42</v>
      </c>
      <c r="O381" s="20">
        <v>45845</v>
      </c>
      <c r="P381" s="19">
        <v>208</v>
      </c>
      <c r="Q381" s="19" t="s">
        <v>13</v>
      </c>
      <c r="R381" s="19">
        <v>5</v>
      </c>
      <c r="S381" s="20">
        <v>45716</v>
      </c>
      <c r="T381" s="19" t="s">
        <v>34</v>
      </c>
      <c r="U381" s="39">
        <f>Table1[[#This Row],[QUANTITY]]*Table1[[#This Row],[PRICE]]</f>
        <v>1471.16</v>
      </c>
    </row>
    <row r="382" spans="1:21">
      <c r="A382" s="19" t="s">
        <v>798</v>
      </c>
      <c r="B382" s="19" t="s">
        <v>26</v>
      </c>
      <c r="C382" s="19" t="s">
        <v>16</v>
      </c>
      <c r="D382" s="19" t="s">
        <v>53</v>
      </c>
      <c r="E382" s="20">
        <v>45644</v>
      </c>
      <c r="F382" s="19" t="s">
        <v>799</v>
      </c>
      <c r="G382" s="20">
        <v>45453</v>
      </c>
      <c r="H382" s="19" t="s">
        <v>44</v>
      </c>
      <c r="I382" s="19" t="s">
        <v>10</v>
      </c>
      <c r="J382" s="19" t="s">
        <v>11</v>
      </c>
      <c r="K382" s="19">
        <v>1</v>
      </c>
      <c r="L382" s="37">
        <v>655.45</v>
      </c>
      <c r="M382" s="19" t="s">
        <v>38</v>
      </c>
      <c r="N382" s="19">
        <v>35</v>
      </c>
      <c r="O382" s="20">
        <v>45771</v>
      </c>
      <c r="P382" s="19">
        <v>336</v>
      </c>
      <c r="Q382" s="19" t="s">
        <v>13</v>
      </c>
      <c r="R382" s="19">
        <v>1</v>
      </c>
      <c r="S382" s="20">
        <v>45829</v>
      </c>
      <c r="T382" s="19" t="s">
        <v>14</v>
      </c>
      <c r="U382" s="39">
        <f>Table1[[#This Row],[QUANTITY]]*Table1[[#This Row],[PRICE]]</f>
        <v>655.45</v>
      </c>
    </row>
    <row r="383" spans="1:21">
      <c r="A383" s="19" t="s">
        <v>800</v>
      </c>
      <c r="B383" s="19" t="s">
        <v>46</v>
      </c>
      <c r="C383" s="19" t="s">
        <v>27</v>
      </c>
      <c r="D383" s="19" t="s">
        <v>70</v>
      </c>
      <c r="E383" s="20">
        <v>45490</v>
      </c>
      <c r="F383" s="19" t="s">
        <v>801</v>
      </c>
      <c r="G383" s="20">
        <v>45453</v>
      </c>
      <c r="H383" s="19" t="s">
        <v>44</v>
      </c>
      <c r="I383" s="19" t="s">
        <v>37</v>
      </c>
      <c r="J383" s="19" t="s">
        <v>33</v>
      </c>
      <c r="K383" s="19">
        <v>4</v>
      </c>
      <c r="L383" s="37">
        <v>484.62</v>
      </c>
      <c r="M383" s="19" t="s">
        <v>38</v>
      </c>
      <c r="N383" s="19">
        <v>24</v>
      </c>
      <c r="O383" s="20">
        <v>45530</v>
      </c>
      <c r="P383" s="19">
        <v>27</v>
      </c>
      <c r="Q383" s="19" t="s">
        <v>13</v>
      </c>
      <c r="R383" s="19">
        <v>2</v>
      </c>
      <c r="S383" s="20">
        <v>45746</v>
      </c>
      <c r="T383" s="19" t="s">
        <v>34</v>
      </c>
      <c r="U383" s="39">
        <f>Table1[[#This Row],[QUANTITY]]*Table1[[#This Row],[PRICE]]</f>
        <v>1938.48</v>
      </c>
    </row>
    <row r="384" spans="1:21">
      <c r="A384" s="19" t="s">
        <v>802</v>
      </c>
      <c r="B384" s="19" t="s">
        <v>46</v>
      </c>
      <c r="C384" s="19" t="s">
        <v>6</v>
      </c>
      <c r="D384" s="19" t="s">
        <v>31</v>
      </c>
      <c r="E384" s="20">
        <v>45838</v>
      </c>
      <c r="F384" s="19" t="s">
        <v>803</v>
      </c>
      <c r="G384" s="20">
        <v>45454</v>
      </c>
      <c r="H384" s="19" t="s">
        <v>44</v>
      </c>
      <c r="I384" s="19" t="s">
        <v>20</v>
      </c>
      <c r="J384" s="19" t="s">
        <v>33</v>
      </c>
      <c r="K384" s="19">
        <v>3</v>
      </c>
      <c r="L384" s="37">
        <v>198.38</v>
      </c>
      <c r="M384" s="19" t="s">
        <v>22</v>
      </c>
      <c r="N384" s="19">
        <v>36</v>
      </c>
      <c r="O384" s="20">
        <v>45607</v>
      </c>
      <c r="P384" s="19">
        <v>290</v>
      </c>
      <c r="Q384" s="19" t="s">
        <v>13</v>
      </c>
      <c r="R384" s="19">
        <v>2</v>
      </c>
      <c r="S384" s="20">
        <v>45667</v>
      </c>
      <c r="T384" s="19" t="s">
        <v>34</v>
      </c>
      <c r="U384" s="39">
        <f>Table1[[#This Row],[QUANTITY]]*Table1[[#This Row],[PRICE]]</f>
        <v>595.14</v>
      </c>
    </row>
    <row r="385" spans="1:21">
      <c r="A385" s="19" t="s">
        <v>804</v>
      </c>
      <c r="B385" s="19" t="s">
        <v>26</v>
      </c>
      <c r="C385" s="19" t="s">
        <v>27</v>
      </c>
      <c r="D385" s="19" t="s">
        <v>7</v>
      </c>
      <c r="E385" s="20">
        <v>45413</v>
      </c>
      <c r="F385" s="19" t="s">
        <v>805</v>
      </c>
      <c r="G385" s="20">
        <v>45454</v>
      </c>
      <c r="H385" s="19" t="s">
        <v>62</v>
      </c>
      <c r="I385" s="19" t="s">
        <v>20</v>
      </c>
      <c r="J385" s="19" t="s">
        <v>21</v>
      </c>
      <c r="K385" s="19">
        <v>4</v>
      </c>
      <c r="L385" s="37">
        <v>188.64</v>
      </c>
      <c r="M385" s="19" t="s">
        <v>22</v>
      </c>
      <c r="N385" s="19">
        <v>36</v>
      </c>
      <c r="O385" s="20">
        <v>45532</v>
      </c>
      <c r="P385" s="19">
        <v>108</v>
      </c>
      <c r="Q385" s="19" t="s">
        <v>23</v>
      </c>
      <c r="R385" s="19">
        <v>3</v>
      </c>
      <c r="S385" s="20">
        <v>45527</v>
      </c>
      <c r="T385" s="19" t="s">
        <v>34</v>
      </c>
      <c r="U385" s="39">
        <f>Table1[[#This Row],[QUANTITY]]*Table1[[#This Row],[PRICE]]</f>
        <v>754.56</v>
      </c>
    </row>
    <row r="386" spans="1:21">
      <c r="A386" s="19" t="s">
        <v>806</v>
      </c>
      <c r="B386" s="19" t="s">
        <v>46</v>
      </c>
      <c r="C386" s="19" t="s">
        <v>16</v>
      </c>
      <c r="D386" s="19" t="s">
        <v>31</v>
      </c>
      <c r="E386" s="20">
        <v>45327</v>
      </c>
      <c r="F386" s="19" t="s">
        <v>807</v>
      </c>
      <c r="G386" s="20">
        <v>45454</v>
      </c>
      <c r="H386" s="19" t="s">
        <v>19</v>
      </c>
      <c r="I386" s="19" t="s">
        <v>51</v>
      </c>
      <c r="J386" s="19" t="s">
        <v>21</v>
      </c>
      <c r="K386" s="19">
        <v>1</v>
      </c>
      <c r="L386" s="37">
        <v>746.1</v>
      </c>
      <c r="M386" s="19" t="s">
        <v>22</v>
      </c>
      <c r="N386" s="19">
        <v>11</v>
      </c>
      <c r="O386" s="20">
        <v>45791</v>
      </c>
      <c r="P386" s="19">
        <v>265</v>
      </c>
      <c r="Q386" s="19" t="s">
        <v>13</v>
      </c>
      <c r="R386" s="19">
        <v>4</v>
      </c>
      <c r="S386" s="20">
        <v>45565</v>
      </c>
      <c r="T386" s="19" t="s">
        <v>14</v>
      </c>
      <c r="U386" s="39">
        <f>Table1[[#This Row],[QUANTITY]]*Table1[[#This Row],[PRICE]]</f>
        <v>746.1</v>
      </c>
    </row>
    <row r="387" spans="1:21">
      <c r="A387" s="19" t="s">
        <v>808</v>
      </c>
      <c r="B387" s="19" t="s">
        <v>26</v>
      </c>
      <c r="C387" s="19" t="s">
        <v>6</v>
      </c>
      <c r="D387" s="19" t="s">
        <v>7</v>
      </c>
      <c r="E387" s="20">
        <v>45492</v>
      </c>
      <c r="F387" s="19" t="s">
        <v>809</v>
      </c>
      <c r="G387" s="20">
        <v>45454</v>
      </c>
      <c r="H387" s="19" t="s">
        <v>44</v>
      </c>
      <c r="I387" s="19" t="s">
        <v>10</v>
      </c>
      <c r="J387" s="19" t="s">
        <v>21</v>
      </c>
      <c r="K387" s="19">
        <v>4</v>
      </c>
      <c r="L387" s="37">
        <v>949.41</v>
      </c>
      <c r="M387" s="19" t="s">
        <v>22</v>
      </c>
      <c r="N387" s="19">
        <v>27</v>
      </c>
      <c r="O387" s="20">
        <v>45705</v>
      </c>
      <c r="P387" s="19">
        <v>244</v>
      </c>
      <c r="Q387" s="19" t="s">
        <v>13</v>
      </c>
      <c r="R387" s="19">
        <v>5</v>
      </c>
      <c r="S387" s="20">
        <v>45542</v>
      </c>
      <c r="T387" s="19" t="s">
        <v>34</v>
      </c>
      <c r="U387" s="39">
        <f>Table1[[#This Row],[QUANTITY]]*Table1[[#This Row],[PRICE]]</f>
        <v>3797.64</v>
      </c>
    </row>
    <row r="388" spans="1:21">
      <c r="A388" s="19" t="s">
        <v>810</v>
      </c>
      <c r="B388" s="19" t="s">
        <v>26</v>
      </c>
      <c r="C388" s="19" t="s">
        <v>16</v>
      </c>
      <c r="D388" s="19" t="s">
        <v>31</v>
      </c>
      <c r="E388" s="20">
        <v>45527</v>
      </c>
      <c r="F388" s="19" t="s">
        <v>811</v>
      </c>
      <c r="G388" s="20">
        <v>45454</v>
      </c>
      <c r="H388" s="19" t="s">
        <v>19</v>
      </c>
      <c r="I388" s="19" t="s">
        <v>51</v>
      </c>
      <c r="J388" s="19" t="s">
        <v>41</v>
      </c>
      <c r="K388" s="19">
        <v>3</v>
      </c>
      <c r="L388" s="37">
        <v>211.28</v>
      </c>
      <c r="M388" s="19" t="s">
        <v>22</v>
      </c>
      <c r="N388" s="19">
        <v>16</v>
      </c>
      <c r="O388" s="20">
        <v>45691</v>
      </c>
      <c r="P388" s="19">
        <v>45</v>
      </c>
      <c r="Q388" s="19" t="s">
        <v>23</v>
      </c>
      <c r="R388" s="19">
        <v>1</v>
      </c>
      <c r="S388" s="20">
        <v>45610</v>
      </c>
      <c r="T388" s="19" t="s">
        <v>34</v>
      </c>
      <c r="U388" s="39">
        <f>Table1[[#This Row],[QUANTITY]]*Table1[[#This Row],[PRICE]]</f>
        <v>633.84</v>
      </c>
    </row>
    <row r="389" spans="1:21">
      <c r="A389" s="19" t="s">
        <v>812</v>
      </c>
      <c r="B389" s="19" t="s">
        <v>46</v>
      </c>
      <c r="C389" s="19" t="s">
        <v>6</v>
      </c>
      <c r="D389" s="19" t="s">
        <v>70</v>
      </c>
      <c r="E389" s="20">
        <v>45867</v>
      </c>
      <c r="F389" s="19" t="s">
        <v>813</v>
      </c>
      <c r="G389" s="20">
        <v>45454</v>
      </c>
      <c r="H389" s="19" t="s">
        <v>29</v>
      </c>
      <c r="I389" s="19" t="s">
        <v>37</v>
      </c>
      <c r="J389" s="19" t="s">
        <v>48</v>
      </c>
      <c r="K389" s="19">
        <v>4</v>
      </c>
      <c r="L389" s="37">
        <v>1343.41</v>
      </c>
      <c r="M389" s="19" t="s">
        <v>12</v>
      </c>
      <c r="N389" s="19">
        <v>46</v>
      </c>
      <c r="O389" s="20">
        <v>45657</v>
      </c>
      <c r="P389" s="19">
        <v>233</v>
      </c>
      <c r="Q389" s="19" t="s">
        <v>23</v>
      </c>
      <c r="R389" s="19">
        <v>5</v>
      </c>
      <c r="S389" s="20">
        <v>45835</v>
      </c>
      <c r="T389" s="19" t="s">
        <v>34</v>
      </c>
      <c r="U389" s="39">
        <f>Table1[[#This Row],[QUANTITY]]*Table1[[#This Row],[PRICE]]</f>
        <v>5373.64</v>
      </c>
    </row>
    <row r="390" spans="1:21">
      <c r="A390" s="19" t="s">
        <v>814</v>
      </c>
      <c r="B390" s="19" t="s">
        <v>26</v>
      </c>
      <c r="C390" s="19" t="s">
        <v>16</v>
      </c>
      <c r="D390" s="19" t="s">
        <v>7</v>
      </c>
      <c r="E390" s="20">
        <v>45697</v>
      </c>
      <c r="F390" s="19" t="s">
        <v>815</v>
      </c>
      <c r="G390" s="20">
        <v>45454</v>
      </c>
      <c r="H390" s="19" t="s">
        <v>19</v>
      </c>
      <c r="I390" s="19" t="s">
        <v>20</v>
      </c>
      <c r="J390" s="19" t="s">
        <v>21</v>
      </c>
      <c r="K390" s="19">
        <v>3</v>
      </c>
      <c r="L390" s="37">
        <v>925.91</v>
      </c>
      <c r="M390" s="19" t="s">
        <v>22</v>
      </c>
      <c r="N390" s="19">
        <v>36</v>
      </c>
      <c r="O390" s="20">
        <v>45728</v>
      </c>
      <c r="P390" s="19">
        <v>71</v>
      </c>
      <c r="Q390" s="19" t="s">
        <v>23</v>
      </c>
      <c r="R390" s="19">
        <v>2</v>
      </c>
      <c r="S390" s="20">
        <v>45866</v>
      </c>
      <c r="T390" s="19" t="s">
        <v>14</v>
      </c>
      <c r="U390" s="39">
        <f>Table1[[#This Row],[QUANTITY]]*Table1[[#This Row],[PRICE]]</f>
        <v>2777.73</v>
      </c>
    </row>
    <row r="391" spans="1:21">
      <c r="A391" s="19" t="s">
        <v>816</v>
      </c>
      <c r="B391" s="19" t="s">
        <v>26</v>
      </c>
      <c r="C391" s="19" t="s">
        <v>16</v>
      </c>
      <c r="D391" s="19" t="s">
        <v>17</v>
      </c>
      <c r="E391" s="20">
        <v>45602</v>
      </c>
      <c r="F391" s="19" t="s">
        <v>817</v>
      </c>
      <c r="G391" s="20">
        <v>45454</v>
      </c>
      <c r="H391" s="19" t="s">
        <v>44</v>
      </c>
      <c r="I391" s="19" t="s">
        <v>37</v>
      </c>
      <c r="J391" s="19" t="s">
        <v>11</v>
      </c>
      <c r="K391" s="19">
        <v>4</v>
      </c>
      <c r="L391" s="37">
        <v>132.31</v>
      </c>
      <c r="M391" s="19" t="s">
        <v>22</v>
      </c>
      <c r="N391" s="19">
        <v>35</v>
      </c>
      <c r="O391" s="20">
        <v>45742</v>
      </c>
      <c r="P391" s="19">
        <v>175</v>
      </c>
      <c r="Q391" s="19" t="s">
        <v>23</v>
      </c>
      <c r="S391" s="20">
        <v>45685</v>
      </c>
      <c r="T391" s="19" t="s">
        <v>24</v>
      </c>
      <c r="U391" s="39">
        <f>Table1[[#This Row],[QUANTITY]]*Table1[[#This Row],[PRICE]]</f>
        <v>529.24</v>
      </c>
    </row>
    <row r="392" spans="1:21">
      <c r="A392" s="19" t="s">
        <v>818</v>
      </c>
      <c r="B392" s="19" t="s">
        <v>5</v>
      </c>
      <c r="C392" s="19" t="s">
        <v>6</v>
      </c>
      <c r="D392" s="19" t="s">
        <v>7</v>
      </c>
      <c r="E392" s="20">
        <v>45679</v>
      </c>
      <c r="F392" s="19" t="s">
        <v>819</v>
      </c>
      <c r="G392" s="20">
        <v>45455</v>
      </c>
      <c r="H392" s="19" t="s">
        <v>19</v>
      </c>
      <c r="I392" s="19" t="s">
        <v>51</v>
      </c>
      <c r="J392" s="19" t="s">
        <v>48</v>
      </c>
      <c r="K392" s="19">
        <v>3</v>
      </c>
      <c r="L392" s="37">
        <v>750.46</v>
      </c>
      <c r="M392" s="19" t="s">
        <v>12</v>
      </c>
      <c r="N392" s="19">
        <v>42</v>
      </c>
      <c r="O392" s="20">
        <v>45749</v>
      </c>
      <c r="P392" s="19">
        <v>153</v>
      </c>
      <c r="Q392" s="19" t="s">
        <v>13</v>
      </c>
      <c r="S392" s="20">
        <v>45594</v>
      </c>
      <c r="T392" s="19" t="s">
        <v>24</v>
      </c>
      <c r="U392" s="39">
        <f>Table1[[#This Row],[QUANTITY]]*Table1[[#This Row],[PRICE]]</f>
        <v>2251.38</v>
      </c>
    </row>
    <row r="393" spans="1:21">
      <c r="A393" s="19" t="s">
        <v>820</v>
      </c>
      <c r="B393" s="19" t="s">
        <v>26</v>
      </c>
      <c r="C393" s="19" t="s">
        <v>6</v>
      </c>
      <c r="D393" s="19" t="s">
        <v>17</v>
      </c>
      <c r="E393" s="20">
        <v>45217</v>
      </c>
      <c r="F393" s="19" t="s">
        <v>821</v>
      </c>
      <c r="G393" s="20">
        <v>45455</v>
      </c>
      <c r="H393" s="19" t="s">
        <v>29</v>
      </c>
      <c r="I393" s="19" t="s">
        <v>20</v>
      </c>
      <c r="J393" s="19" t="s">
        <v>33</v>
      </c>
      <c r="K393" s="19">
        <v>2</v>
      </c>
      <c r="L393" s="37">
        <v>1457.63</v>
      </c>
      <c r="M393" s="19" t="s">
        <v>38</v>
      </c>
      <c r="N393" s="19">
        <v>1</v>
      </c>
      <c r="O393" s="20">
        <v>45727</v>
      </c>
      <c r="P393" s="19">
        <v>411</v>
      </c>
      <c r="Q393" s="19" t="s">
        <v>23</v>
      </c>
      <c r="R393" s="19">
        <v>2</v>
      </c>
      <c r="S393" s="20">
        <v>45784</v>
      </c>
      <c r="T393" s="19" t="s">
        <v>14</v>
      </c>
      <c r="U393" s="39">
        <f>Table1[[#This Row],[QUANTITY]]*Table1[[#This Row],[PRICE]]</f>
        <v>2915.26</v>
      </c>
    </row>
    <row r="394" spans="1:21">
      <c r="A394" s="19" t="s">
        <v>822</v>
      </c>
      <c r="B394" s="19" t="s">
        <v>5</v>
      </c>
      <c r="C394" s="19" t="s">
        <v>27</v>
      </c>
      <c r="D394" s="19" t="s">
        <v>53</v>
      </c>
      <c r="E394" s="20">
        <v>45492</v>
      </c>
      <c r="F394" s="19" t="s">
        <v>823</v>
      </c>
      <c r="G394" s="20">
        <v>45455</v>
      </c>
      <c r="H394" s="19" t="s">
        <v>62</v>
      </c>
      <c r="I394" s="19" t="s">
        <v>55</v>
      </c>
      <c r="J394" s="19" t="s">
        <v>48</v>
      </c>
      <c r="K394" s="19">
        <v>5</v>
      </c>
      <c r="L394" s="37">
        <v>927.2</v>
      </c>
      <c r="M394" s="19" t="s">
        <v>38</v>
      </c>
      <c r="N394" s="19">
        <v>12</v>
      </c>
      <c r="O394" s="20">
        <v>45889</v>
      </c>
      <c r="P394" s="19">
        <v>346</v>
      </c>
      <c r="Q394" s="19" t="s">
        <v>13</v>
      </c>
      <c r="R394" s="19">
        <v>2</v>
      </c>
      <c r="S394" s="20">
        <v>45603</v>
      </c>
      <c r="T394" s="19" t="s">
        <v>34</v>
      </c>
      <c r="U394" s="39">
        <f>Table1[[#This Row],[QUANTITY]]*Table1[[#This Row],[PRICE]]</f>
        <v>4636</v>
      </c>
    </row>
    <row r="395" spans="1:21">
      <c r="A395" s="19" t="s">
        <v>824</v>
      </c>
      <c r="B395" s="19" t="s">
        <v>5</v>
      </c>
      <c r="C395" s="19" t="s">
        <v>27</v>
      </c>
      <c r="D395" s="19" t="s">
        <v>53</v>
      </c>
      <c r="E395" s="20">
        <v>45486</v>
      </c>
      <c r="F395" s="19" t="s">
        <v>825</v>
      </c>
      <c r="G395" s="20">
        <v>45455</v>
      </c>
      <c r="H395" s="19" t="s">
        <v>29</v>
      </c>
      <c r="I395" s="19" t="s">
        <v>10</v>
      </c>
      <c r="J395" s="19" t="s">
        <v>11</v>
      </c>
      <c r="K395" s="19">
        <v>1</v>
      </c>
      <c r="L395" s="37">
        <v>1498.75</v>
      </c>
      <c r="M395" s="19" t="s">
        <v>38</v>
      </c>
      <c r="N395" s="19">
        <v>42</v>
      </c>
      <c r="O395" s="20">
        <v>45678</v>
      </c>
      <c r="P395" s="19">
        <v>107</v>
      </c>
      <c r="Q395" s="19" t="s">
        <v>23</v>
      </c>
      <c r="S395" s="20">
        <v>45863</v>
      </c>
      <c r="T395" s="19" t="s">
        <v>24</v>
      </c>
      <c r="U395" s="39">
        <f>Table1[[#This Row],[QUANTITY]]*Table1[[#This Row],[PRICE]]</f>
        <v>1498.75</v>
      </c>
    </row>
    <row r="396" spans="1:21">
      <c r="A396" s="19" t="s">
        <v>826</v>
      </c>
      <c r="B396" s="19" t="s">
        <v>5</v>
      </c>
      <c r="C396" s="19" t="s">
        <v>16</v>
      </c>
      <c r="D396" s="19" t="s">
        <v>17</v>
      </c>
      <c r="E396" s="20">
        <v>45813</v>
      </c>
      <c r="F396" s="19" t="s">
        <v>827</v>
      </c>
      <c r="G396" s="20">
        <v>45455</v>
      </c>
      <c r="H396" s="19" t="s">
        <v>44</v>
      </c>
      <c r="I396" s="19" t="s">
        <v>20</v>
      </c>
      <c r="J396" s="19" t="s">
        <v>48</v>
      </c>
      <c r="K396" s="19">
        <v>4</v>
      </c>
      <c r="L396" s="37">
        <v>1177.3699999999999</v>
      </c>
      <c r="M396" s="19" t="s">
        <v>38</v>
      </c>
      <c r="N396" s="19">
        <v>49</v>
      </c>
      <c r="O396" s="20">
        <v>45584</v>
      </c>
      <c r="P396" s="19">
        <v>95</v>
      </c>
      <c r="Q396" s="19" t="s">
        <v>13</v>
      </c>
      <c r="S396" s="20">
        <v>45854</v>
      </c>
      <c r="T396" s="19" t="s">
        <v>24</v>
      </c>
      <c r="U396" s="39">
        <f>Table1[[#This Row],[QUANTITY]]*Table1[[#This Row],[PRICE]]</f>
        <v>4709.4799999999996</v>
      </c>
    </row>
    <row r="397" spans="1:21">
      <c r="A397" s="19" t="s">
        <v>828</v>
      </c>
      <c r="B397" s="19" t="s">
        <v>5</v>
      </c>
      <c r="C397" s="19" t="s">
        <v>27</v>
      </c>
      <c r="D397" s="19" t="s">
        <v>17</v>
      </c>
      <c r="E397" s="20">
        <v>45513</v>
      </c>
      <c r="F397" s="19" t="s">
        <v>829</v>
      </c>
      <c r="G397" s="20">
        <v>45456</v>
      </c>
      <c r="H397" s="19" t="s">
        <v>29</v>
      </c>
      <c r="I397" s="19" t="s">
        <v>51</v>
      </c>
      <c r="J397" s="19" t="s">
        <v>21</v>
      </c>
      <c r="K397" s="19">
        <v>1</v>
      </c>
      <c r="L397" s="37">
        <v>285.22000000000003</v>
      </c>
      <c r="M397" s="19" t="s">
        <v>38</v>
      </c>
      <c r="N397" s="19">
        <v>46</v>
      </c>
      <c r="O397" s="20">
        <v>45777</v>
      </c>
      <c r="P397" s="19">
        <v>438</v>
      </c>
      <c r="Q397" s="19" t="s">
        <v>23</v>
      </c>
      <c r="S397" s="20">
        <v>45624</v>
      </c>
      <c r="T397" s="19" t="s">
        <v>24</v>
      </c>
      <c r="U397" s="39">
        <f>Table1[[#This Row],[QUANTITY]]*Table1[[#This Row],[PRICE]]</f>
        <v>285.22000000000003</v>
      </c>
    </row>
    <row r="398" spans="1:21">
      <c r="A398" s="19" t="s">
        <v>830</v>
      </c>
      <c r="B398" s="19" t="s">
        <v>46</v>
      </c>
      <c r="C398" s="19" t="s">
        <v>6</v>
      </c>
      <c r="D398" s="19" t="s">
        <v>17</v>
      </c>
      <c r="E398" s="20">
        <v>45537</v>
      </c>
      <c r="F398" s="19" t="s">
        <v>831</v>
      </c>
      <c r="G398" s="20">
        <v>45456</v>
      </c>
      <c r="H398" s="19" t="s">
        <v>9</v>
      </c>
      <c r="I398" s="19" t="s">
        <v>51</v>
      </c>
      <c r="J398" s="19" t="s">
        <v>33</v>
      </c>
      <c r="K398" s="19">
        <v>1</v>
      </c>
      <c r="L398" s="37">
        <v>473.07</v>
      </c>
      <c r="M398" s="19" t="s">
        <v>38</v>
      </c>
      <c r="N398" s="19">
        <v>22</v>
      </c>
      <c r="O398" s="20">
        <v>45587</v>
      </c>
      <c r="P398" s="19">
        <v>202</v>
      </c>
      <c r="Q398" s="19" t="s">
        <v>23</v>
      </c>
      <c r="R398" s="19">
        <v>3</v>
      </c>
      <c r="S398" s="20">
        <v>45590</v>
      </c>
      <c r="T398" s="19" t="s">
        <v>14</v>
      </c>
      <c r="U398" s="39">
        <f>Table1[[#This Row],[QUANTITY]]*Table1[[#This Row],[PRICE]]</f>
        <v>473.07</v>
      </c>
    </row>
    <row r="399" spans="1:21">
      <c r="A399" s="19" t="s">
        <v>832</v>
      </c>
      <c r="B399" s="19" t="s">
        <v>5</v>
      </c>
      <c r="C399" s="19" t="s">
        <v>6</v>
      </c>
      <c r="D399" s="19" t="s">
        <v>31</v>
      </c>
      <c r="E399" s="20">
        <v>45420</v>
      </c>
      <c r="F399" s="19" t="s">
        <v>833</v>
      </c>
      <c r="G399" s="20">
        <v>45456</v>
      </c>
      <c r="H399" s="19" t="s">
        <v>44</v>
      </c>
      <c r="I399" s="19" t="s">
        <v>51</v>
      </c>
      <c r="J399" s="19" t="s">
        <v>21</v>
      </c>
      <c r="K399" s="19">
        <v>2</v>
      </c>
      <c r="L399" s="37">
        <v>1219.31</v>
      </c>
      <c r="M399" s="19" t="s">
        <v>12</v>
      </c>
      <c r="N399" s="19">
        <v>32</v>
      </c>
      <c r="O399" s="20">
        <v>45532</v>
      </c>
      <c r="P399" s="19">
        <v>130</v>
      </c>
      <c r="Q399" s="19" t="s">
        <v>13</v>
      </c>
      <c r="S399" s="20">
        <v>45568</v>
      </c>
      <c r="T399" s="19" t="s">
        <v>24</v>
      </c>
      <c r="U399" s="39">
        <f>Table1[[#This Row],[QUANTITY]]*Table1[[#This Row],[PRICE]]</f>
        <v>2438.62</v>
      </c>
    </row>
    <row r="400" spans="1:21">
      <c r="A400" s="19" t="s">
        <v>834</v>
      </c>
      <c r="B400" s="19" t="s">
        <v>5</v>
      </c>
      <c r="C400" s="19" t="s">
        <v>27</v>
      </c>
      <c r="D400" s="19" t="s">
        <v>53</v>
      </c>
      <c r="E400" s="20">
        <v>45472</v>
      </c>
      <c r="F400" s="19" t="s">
        <v>835</v>
      </c>
      <c r="G400" s="20">
        <v>45456</v>
      </c>
      <c r="H400" s="19" t="s">
        <v>44</v>
      </c>
      <c r="I400" s="19" t="s">
        <v>37</v>
      </c>
      <c r="J400" s="19" t="s">
        <v>33</v>
      </c>
      <c r="K400" s="19">
        <v>3</v>
      </c>
      <c r="L400" s="37">
        <v>1084.44</v>
      </c>
      <c r="M400" s="19" t="s">
        <v>38</v>
      </c>
      <c r="N400" s="19">
        <v>43</v>
      </c>
      <c r="O400" s="20">
        <v>45838</v>
      </c>
      <c r="P400" s="19">
        <v>402</v>
      </c>
      <c r="Q400" s="19" t="s">
        <v>13</v>
      </c>
      <c r="R400" s="19">
        <v>2</v>
      </c>
      <c r="S400" s="20">
        <v>45773</v>
      </c>
      <c r="T400" s="19" t="s">
        <v>14</v>
      </c>
      <c r="U400" s="39">
        <f>Table1[[#This Row],[QUANTITY]]*Table1[[#This Row],[PRICE]]</f>
        <v>3253.32</v>
      </c>
    </row>
    <row r="401" spans="1:21">
      <c r="A401" s="19" t="s">
        <v>836</v>
      </c>
      <c r="B401" s="19" t="s">
        <v>5</v>
      </c>
      <c r="C401" s="19" t="s">
        <v>6</v>
      </c>
      <c r="D401" s="19" t="s">
        <v>7</v>
      </c>
      <c r="E401" s="20">
        <v>45460</v>
      </c>
      <c r="F401" s="19" t="s">
        <v>837</v>
      </c>
      <c r="G401" s="20">
        <v>45456</v>
      </c>
      <c r="H401" s="19" t="s">
        <v>9</v>
      </c>
      <c r="I401" s="19" t="s">
        <v>55</v>
      </c>
      <c r="J401" s="19" t="s">
        <v>33</v>
      </c>
      <c r="K401" s="19">
        <v>4</v>
      </c>
      <c r="L401" s="37">
        <v>1385.5</v>
      </c>
      <c r="M401" s="19" t="s">
        <v>12</v>
      </c>
      <c r="N401" s="19">
        <v>1</v>
      </c>
      <c r="O401" s="20">
        <v>45640</v>
      </c>
      <c r="P401" s="19">
        <v>305</v>
      </c>
      <c r="Q401" s="19" t="s">
        <v>23</v>
      </c>
      <c r="R401" s="19">
        <v>5</v>
      </c>
      <c r="S401" s="20">
        <v>45700</v>
      </c>
      <c r="T401" s="19" t="s">
        <v>34</v>
      </c>
      <c r="U401" s="39">
        <f>Table1[[#This Row],[QUANTITY]]*Table1[[#This Row],[PRICE]]</f>
        <v>5542</v>
      </c>
    </row>
    <row r="402" spans="1:21">
      <c r="A402" s="19" t="s">
        <v>838</v>
      </c>
      <c r="B402" s="19" t="s">
        <v>26</v>
      </c>
      <c r="C402" s="19" t="s">
        <v>6</v>
      </c>
      <c r="D402" s="19" t="s">
        <v>7</v>
      </c>
      <c r="E402" s="20">
        <v>45469</v>
      </c>
      <c r="F402" s="19" t="s">
        <v>839</v>
      </c>
      <c r="G402" s="20">
        <v>45456</v>
      </c>
      <c r="H402" s="19" t="s">
        <v>29</v>
      </c>
      <c r="I402" s="19" t="s">
        <v>20</v>
      </c>
      <c r="J402" s="19" t="s">
        <v>41</v>
      </c>
      <c r="K402" s="19">
        <v>4</v>
      </c>
      <c r="L402" s="37">
        <v>409.96</v>
      </c>
      <c r="M402" s="19" t="s">
        <v>12</v>
      </c>
      <c r="N402" s="19">
        <v>9</v>
      </c>
      <c r="O402" s="20">
        <v>45653</v>
      </c>
      <c r="P402" s="19">
        <v>187</v>
      </c>
      <c r="Q402" s="19" t="s">
        <v>13</v>
      </c>
      <c r="R402" s="19">
        <v>2</v>
      </c>
      <c r="S402" s="20">
        <v>45542</v>
      </c>
      <c r="T402" s="19" t="s">
        <v>34</v>
      </c>
      <c r="U402" s="39">
        <f>Table1[[#This Row],[QUANTITY]]*Table1[[#This Row],[PRICE]]</f>
        <v>1639.84</v>
      </c>
    </row>
    <row r="403" spans="1:21">
      <c r="A403" s="19" t="s">
        <v>840</v>
      </c>
      <c r="B403" s="19" t="s">
        <v>5</v>
      </c>
      <c r="C403" s="19" t="s">
        <v>6</v>
      </c>
      <c r="D403" s="19" t="s">
        <v>31</v>
      </c>
      <c r="E403" s="20">
        <v>45285</v>
      </c>
      <c r="F403" s="19" t="s">
        <v>841</v>
      </c>
      <c r="G403" s="20">
        <v>45456</v>
      </c>
      <c r="H403" s="19" t="s">
        <v>19</v>
      </c>
      <c r="I403" s="19" t="s">
        <v>51</v>
      </c>
      <c r="J403" s="19" t="s">
        <v>21</v>
      </c>
      <c r="K403" s="19">
        <v>1</v>
      </c>
      <c r="L403" s="37">
        <v>1430.87</v>
      </c>
      <c r="M403" s="19" t="s">
        <v>38</v>
      </c>
      <c r="N403" s="19">
        <v>20</v>
      </c>
      <c r="O403" s="20">
        <v>45829</v>
      </c>
      <c r="P403" s="19">
        <v>407</v>
      </c>
      <c r="Q403" s="19" t="s">
        <v>23</v>
      </c>
      <c r="S403" s="20">
        <v>45728</v>
      </c>
      <c r="T403" s="19" t="s">
        <v>24</v>
      </c>
      <c r="U403" s="39">
        <f>Table1[[#This Row],[QUANTITY]]*Table1[[#This Row],[PRICE]]</f>
        <v>1430.87</v>
      </c>
    </row>
    <row r="404" spans="1:21">
      <c r="A404" s="19" t="s">
        <v>842</v>
      </c>
      <c r="B404" s="19" t="s">
        <v>26</v>
      </c>
      <c r="C404" s="19" t="s">
        <v>27</v>
      </c>
      <c r="D404" s="19" t="s">
        <v>17</v>
      </c>
      <c r="E404" s="20">
        <v>45484</v>
      </c>
      <c r="F404" s="19" t="s">
        <v>843</v>
      </c>
      <c r="G404" s="20">
        <v>45456</v>
      </c>
      <c r="H404" s="19" t="s">
        <v>19</v>
      </c>
      <c r="I404" s="19" t="s">
        <v>37</v>
      </c>
      <c r="J404" s="19" t="s">
        <v>48</v>
      </c>
      <c r="K404" s="19">
        <v>5</v>
      </c>
      <c r="L404" s="37">
        <v>875.81</v>
      </c>
      <c r="M404" s="19" t="s">
        <v>22</v>
      </c>
      <c r="N404" s="19">
        <v>18</v>
      </c>
      <c r="O404" s="20">
        <v>45839</v>
      </c>
      <c r="P404" s="19">
        <v>315</v>
      </c>
      <c r="Q404" s="19" t="s">
        <v>23</v>
      </c>
      <c r="R404" s="19">
        <v>5</v>
      </c>
      <c r="S404" s="20">
        <v>45768</v>
      </c>
      <c r="T404" s="19" t="s">
        <v>34</v>
      </c>
      <c r="U404" s="39">
        <f>Table1[[#This Row],[QUANTITY]]*Table1[[#This Row],[PRICE]]</f>
        <v>4379.0499999999993</v>
      </c>
    </row>
    <row r="405" spans="1:21">
      <c r="A405" s="19" t="s">
        <v>844</v>
      </c>
      <c r="B405" s="19" t="s">
        <v>26</v>
      </c>
      <c r="C405" s="19" t="s">
        <v>16</v>
      </c>
      <c r="D405" s="19" t="s">
        <v>53</v>
      </c>
      <c r="E405" s="20">
        <v>45561</v>
      </c>
      <c r="F405" s="19" t="s">
        <v>845</v>
      </c>
      <c r="G405" s="20">
        <v>45456</v>
      </c>
      <c r="H405" s="19" t="s">
        <v>44</v>
      </c>
      <c r="I405" s="19" t="s">
        <v>10</v>
      </c>
      <c r="J405" s="19" t="s">
        <v>11</v>
      </c>
      <c r="K405" s="19">
        <v>1</v>
      </c>
      <c r="L405" s="37">
        <v>1277.3900000000001</v>
      </c>
      <c r="M405" s="19" t="s">
        <v>12</v>
      </c>
      <c r="N405" s="19">
        <v>31</v>
      </c>
      <c r="O405" s="20">
        <v>45780</v>
      </c>
      <c r="P405" s="19">
        <v>53</v>
      </c>
      <c r="Q405" s="19" t="s">
        <v>23</v>
      </c>
      <c r="R405" s="19">
        <v>3</v>
      </c>
      <c r="S405" s="20">
        <v>45803</v>
      </c>
      <c r="T405" s="19" t="s">
        <v>14</v>
      </c>
      <c r="U405" s="39">
        <f>Table1[[#This Row],[QUANTITY]]*Table1[[#This Row],[PRICE]]</f>
        <v>1277.3900000000001</v>
      </c>
    </row>
    <row r="406" spans="1:21">
      <c r="A406" s="19" t="s">
        <v>846</v>
      </c>
      <c r="B406" s="19" t="s">
        <v>46</v>
      </c>
      <c r="C406" s="19" t="s">
        <v>16</v>
      </c>
      <c r="D406" s="19" t="s">
        <v>7</v>
      </c>
      <c r="E406" s="20">
        <v>45686</v>
      </c>
      <c r="F406" s="19" t="s">
        <v>847</v>
      </c>
      <c r="G406" s="20">
        <v>45456</v>
      </c>
      <c r="H406" s="19" t="s">
        <v>62</v>
      </c>
      <c r="I406" s="19" t="s">
        <v>51</v>
      </c>
      <c r="J406" s="19" t="s">
        <v>21</v>
      </c>
      <c r="K406" s="19">
        <v>2</v>
      </c>
      <c r="L406" s="37">
        <v>1246.3499999999999</v>
      </c>
      <c r="M406" s="19" t="s">
        <v>22</v>
      </c>
      <c r="N406" s="19">
        <v>29</v>
      </c>
      <c r="O406" s="20">
        <v>45859</v>
      </c>
      <c r="P406" s="19">
        <v>206</v>
      </c>
      <c r="Q406" s="19" t="s">
        <v>13</v>
      </c>
      <c r="R406" s="19">
        <v>5</v>
      </c>
      <c r="S406" s="20">
        <v>45608</v>
      </c>
      <c r="T406" s="19" t="s">
        <v>14</v>
      </c>
      <c r="U406" s="39">
        <f>Table1[[#This Row],[QUANTITY]]*Table1[[#This Row],[PRICE]]</f>
        <v>2492.6999999999998</v>
      </c>
    </row>
    <row r="407" spans="1:21">
      <c r="A407" s="19" t="s">
        <v>848</v>
      </c>
      <c r="B407" s="19" t="s">
        <v>46</v>
      </c>
      <c r="C407" s="19" t="s">
        <v>27</v>
      </c>
      <c r="D407" s="19" t="s">
        <v>53</v>
      </c>
      <c r="E407" s="20">
        <v>45290</v>
      </c>
      <c r="F407" s="19" t="s">
        <v>849</v>
      </c>
      <c r="G407" s="20">
        <v>45456</v>
      </c>
      <c r="H407" s="19" t="s">
        <v>9</v>
      </c>
      <c r="I407" s="19" t="s">
        <v>10</v>
      </c>
      <c r="J407" s="19" t="s">
        <v>48</v>
      </c>
      <c r="K407" s="19">
        <v>4</v>
      </c>
      <c r="L407" s="37">
        <v>983.07</v>
      </c>
      <c r="M407" s="19" t="s">
        <v>38</v>
      </c>
      <c r="N407" s="19">
        <v>18</v>
      </c>
      <c r="O407" s="20">
        <v>45605</v>
      </c>
      <c r="P407" s="19">
        <v>89</v>
      </c>
      <c r="Q407" s="19" t="s">
        <v>13</v>
      </c>
      <c r="R407" s="19">
        <v>2</v>
      </c>
      <c r="S407" s="20">
        <v>45769</v>
      </c>
      <c r="T407" s="19" t="s">
        <v>34</v>
      </c>
      <c r="U407" s="39">
        <f>Table1[[#This Row],[QUANTITY]]*Table1[[#This Row],[PRICE]]</f>
        <v>3932.28</v>
      </c>
    </row>
    <row r="408" spans="1:21">
      <c r="A408" s="19" t="s">
        <v>850</v>
      </c>
      <c r="B408" s="19" t="s">
        <v>46</v>
      </c>
      <c r="C408" s="19" t="s">
        <v>27</v>
      </c>
      <c r="D408" s="19" t="s">
        <v>17</v>
      </c>
      <c r="E408" s="20">
        <v>45166</v>
      </c>
      <c r="F408" s="19" t="s">
        <v>851</v>
      </c>
      <c r="G408" s="20">
        <v>45456</v>
      </c>
      <c r="H408" s="19" t="s">
        <v>62</v>
      </c>
      <c r="I408" s="19" t="s">
        <v>10</v>
      </c>
      <c r="J408" s="19" t="s">
        <v>11</v>
      </c>
      <c r="K408" s="19">
        <v>4</v>
      </c>
      <c r="L408" s="37">
        <v>1245.47</v>
      </c>
      <c r="M408" s="19" t="s">
        <v>38</v>
      </c>
      <c r="N408" s="19">
        <v>8</v>
      </c>
      <c r="O408" s="20">
        <v>45539</v>
      </c>
      <c r="P408" s="19">
        <v>398</v>
      </c>
      <c r="Q408" s="19" t="s">
        <v>13</v>
      </c>
      <c r="S408" s="20">
        <v>45637</v>
      </c>
      <c r="T408" s="19" t="s">
        <v>24</v>
      </c>
      <c r="U408" s="39">
        <f>Table1[[#This Row],[QUANTITY]]*Table1[[#This Row],[PRICE]]</f>
        <v>4981.88</v>
      </c>
    </row>
    <row r="409" spans="1:21">
      <c r="A409" s="19" t="s">
        <v>852</v>
      </c>
      <c r="B409" s="19" t="s">
        <v>26</v>
      </c>
      <c r="C409" s="19" t="s">
        <v>16</v>
      </c>
      <c r="D409" s="19" t="s">
        <v>70</v>
      </c>
      <c r="E409" s="20">
        <v>45371</v>
      </c>
      <c r="F409" s="19" t="s">
        <v>853</v>
      </c>
      <c r="G409" s="20">
        <v>45457</v>
      </c>
      <c r="H409" s="19" t="s">
        <v>62</v>
      </c>
      <c r="I409" s="19" t="s">
        <v>55</v>
      </c>
      <c r="J409" s="19" t="s">
        <v>41</v>
      </c>
      <c r="K409" s="19">
        <v>4</v>
      </c>
      <c r="L409" s="37">
        <v>309.67</v>
      </c>
      <c r="M409" s="19" t="s">
        <v>38</v>
      </c>
      <c r="N409" s="19">
        <v>4</v>
      </c>
      <c r="O409" s="20">
        <v>45753</v>
      </c>
      <c r="P409" s="19">
        <v>379</v>
      </c>
      <c r="Q409" s="19" t="s">
        <v>23</v>
      </c>
      <c r="R409" s="19">
        <v>1</v>
      </c>
      <c r="S409" s="20">
        <v>45811</v>
      </c>
      <c r="T409" s="19" t="s">
        <v>14</v>
      </c>
      <c r="U409" s="39">
        <f>Table1[[#This Row],[QUANTITY]]*Table1[[#This Row],[PRICE]]</f>
        <v>1238.68</v>
      </c>
    </row>
    <row r="410" spans="1:21">
      <c r="A410" s="19" t="s">
        <v>854</v>
      </c>
      <c r="B410" s="19" t="s">
        <v>26</v>
      </c>
      <c r="C410" s="19" t="s">
        <v>16</v>
      </c>
      <c r="D410" s="19" t="s">
        <v>7</v>
      </c>
      <c r="E410" s="20">
        <v>45517</v>
      </c>
      <c r="F410" s="19" t="s">
        <v>855</v>
      </c>
      <c r="G410" s="20">
        <v>45457</v>
      </c>
      <c r="H410" s="19" t="s">
        <v>44</v>
      </c>
      <c r="I410" s="19" t="s">
        <v>55</v>
      </c>
      <c r="J410" s="19" t="s">
        <v>33</v>
      </c>
      <c r="K410" s="19">
        <v>5</v>
      </c>
      <c r="L410" s="37">
        <v>513.15</v>
      </c>
      <c r="M410" s="19" t="s">
        <v>38</v>
      </c>
      <c r="N410" s="19">
        <v>32</v>
      </c>
      <c r="O410" s="20">
        <v>45551</v>
      </c>
      <c r="P410" s="19">
        <v>20</v>
      </c>
      <c r="Q410" s="19" t="s">
        <v>23</v>
      </c>
      <c r="R410" s="19">
        <v>3</v>
      </c>
      <c r="S410" s="20">
        <v>45858</v>
      </c>
      <c r="T410" s="19" t="s">
        <v>14</v>
      </c>
      <c r="U410" s="39">
        <f>Table1[[#This Row],[QUANTITY]]*Table1[[#This Row],[PRICE]]</f>
        <v>2565.75</v>
      </c>
    </row>
    <row r="411" spans="1:21">
      <c r="A411" s="19" t="s">
        <v>856</v>
      </c>
      <c r="B411" s="19" t="s">
        <v>5</v>
      </c>
      <c r="C411" s="19" t="s">
        <v>16</v>
      </c>
      <c r="D411" s="19" t="s">
        <v>17</v>
      </c>
      <c r="E411" s="20">
        <v>45767</v>
      </c>
      <c r="F411" s="19" t="s">
        <v>857</v>
      </c>
      <c r="G411" s="20">
        <v>45457</v>
      </c>
      <c r="H411" s="19" t="s">
        <v>29</v>
      </c>
      <c r="I411" s="19" t="s">
        <v>55</v>
      </c>
      <c r="J411" s="19" t="s">
        <v>21</v>
      </c>
      <c r="K411" s="19">
        <v>5</v>
      </c>
      <c r="L411" s="37">
        <v>233.05</v>
      </c>
      <c r="M411" s="19" t="s">
        <v>22</v>
      </c>
      <c r="N411" s="19">
        <v>45</v>
      </c>
      <c r="O411" s="20">
        <v>45874</v>
      </c>
      <c r="P411" s="19">
        <v>442</v>
      </c>
      <c r="Q411" s="19" t="s">
        <v>23</v>
      </c>
      <c r="R411" s="19">
        <v>3</v>
      </c>
      <c r="S411" s="20">
        <v>45605</v>
      </c>
      <c r="T411" s="19" t="s">
        <v>34</v>
      </c>
      <c r="U411" s="39">
        <f>Table1[[#This Row],[QUANTITY]]*Table1[[#This Row],[PRICE]]</f>
        <v>1165.25</v>
      </c>
    </row>
    <row r="412" spans="1:21">
      <c r="A412" s="19" t="s">
        <v>858</v>
      </c>
      <c r="B412" s="19" t="s">
        <v>26</v>
      </c>
      <c r="C412" s="19" t="s">
        <v>16</v>
      </c>
      <c r="D412" s="19" t="s">
        <v>7</v>
      </c>
      <c r="E412" s="20">
        <v>45585</v>
      </c>
      <c r="F412" s="19" t="s">
        <v>859</v>
      </c>
      <c r="G412" s="20">
        <v>45457</v>
      </c>
      <c r="H412" s="19" t="s">
        <v>19</v>
      </c>
      <c r="I412" s="19" t="s">
        <v>55</v>
      </c>
      <c r="J412" s="19" t="s">
        <v>33</v>
      </c>
      <c r="K412" s="19">
        <v>5</v>
      </c>
      <c r="L412" s="37">
        <v>1139.94</v>
      </c>
      <c r="M412" s="19" t="s">
        <v>12</v>
      </c>
      <c r="N412" s="19">
        <v>30</v>
      </c>
      <c r="O412" s="20">
        <v>45673</v>
      </c>
      <c r="P412" s="19">
        <v>191</v>
      </c>
      <c r="Q412" s="19" t="s">
        <v>23</v>
      </c>
      <c r="S412" s="20">
        <v>45573</v>
      </c>
      <c r="T412" s="19" t="s">
        <v>24</v>
      </c>
      <c r="U412" s="39">
        <f>Table1[[#This Row],[QUANTITY]]*Table1[[#This Row],[PRICE]]</f>
        <v>5699.7000000000007</v>
      </c>
    </row>
    <row r="413" spans="1:21">
      <c r="A413" s="19" t="s">
        <v>860</v>
      </c>
      <c r="B413" s="19" t="s">
        <v>26</v>
      </c>
      <c r="C413" s="19" t="s">
        <v>6</v>
      </c>
      <c r="D413" s="19" t="s">
        <v>53</v>
      </c>
      <c r="E413" s="20">
        <v>45235</v>
      </c>
      <c r="F413" s="19" t="s">
        <v>861</v>
      </c>
      <c r="G413" s="20">
        <v>45457</v>
      </c>
      <c r="H413" s="19" t="s">
        <v>44</v>
      </c>
      <c r="I413" s="19" t="s">
        <v>55</v>
      </c>
      <c r="J413" s="19" t="s">
        <v>21</v>
      </c>
      <c r="K413" s="19">
        <v>4</v>
      </c>
      <c r="L413" s="37">
        <v>535.79</v>
      </c>
      <c r="M413" s="19" t="s">
        <v>12</v>
      </c>
      <c r="N413" s="19">
        <v>49</v>
      </c>
      <c r="O413" s="20">
        <v>45683</v>
      </c>
      <c r="P413" s="19">
        <v>169</v>
      </c>
      <c r="Q413" s="19" t="s">
        <v>13</v>
      </c>
      <c r="R413" s="19">
        <v>4</v>
      </c>
      <c r="S413" s="20">
        <v>45541</v>
      </c>
      <c r="T413" s="19" t="s">
        <v>14</v>
      </c>
      <c r="U413" s="39">
        <f>Table1[[#This Row],[QUANTITY]]*Table1[[#This Row],[PRICE]]</f>
        <v>2143.16</v>
      </c>
    </row>
    <row r="414" spans="1:21">
      <c r="A414" s="19" t="s">
        <v>862</v>
      </c>
      <c r="B414" s="19" t="s">
        <v>5</v>
      </c>
      <c r="C414" s="19" t="s">
        <v>6</v>
      </c>
      <c r="D414" s="19" t="s">
        <v>70</v>
      </c>
      <c r="E414" s="20">
        <v>45817</v>
      </c>
      <c r="F414" s="19" t="s">
        <v>863</v>
      </c>
      <c r="G414" s="20">
        <v>45458</v>
      </c>
      <c r="H414" s="19" t="s">
        <v>9</v>
      </c>
      <c r="I414" s="19" t="s">
        <v>51</v>
      </c>
      <c r="J414" s="19" t="s">
        <v>48</v>
      </c>
      <c r="K414" s="19">
        <v>1</v>
      </c>
      <c r="L414" s="37">
        <v>1298.1500000000001</v>
      </c>
      <c r="M414" s="19" t="s">
        <v>38</v>
      </c>
      <c r="N414" s="19">
        <v>19</v>
      </c>
      <c r="O414" s="20">
        <v>45819</v>
      </c>
      <c r="P414" s="19">
        <v>196</v>
      </c>
      <c r="Q414" s="19" t="s">
        <v>23</v>
      </c>
      <c r="R414" s="19">
        <v>5</v>
      </c>
      <c r="S414" s="20">
        <v>45570</v>
      </c>
      <c r="T414" s="19" t="s">
        <v>14</v>
      </c>
      <c r="U414" s="39">
        <f>Table1[[#This Row],[QUANTITY]]*Table1[[#This Row],[PRICE]]</f>
        <v>1298.1500000000001</v>
      </c>
    </row>
    <row r="415" spans="1:21">
      <c r="A415" s="19" t="s">
        <v>864</v>
      </c>
      <c r="B415" s="19" t="s">
        <v>26</v>
      </c>
      <c r="C415" s="19" t="s">
        <v>27</v>
      </c>
      <c r="D415" s="19" t="s">
        <v>53</v>
      </c>
      <c r="E415" s="20">
        <v>45641</v>
      </c>
      <c r="F415" s="19" t="s">
        <v>865</v>
      </c>
      <c r="G415" s="20">
        <v>45458</v>
      </c>
      <c r="H415" s="19" t="s">
        <v>44</v>
      </c>
      <c r="I415" s="19" t="s">
        <v>37</v>
      </c>
      <c r="J415" s="19" t="s">
        <v>21</v>
      </c>
      <c r="K415" s="19">
        <v>5</v>
      </c>
      <c r="L415" s="37">
        <v>443.05</v>
      </c>
      <c r="M415" s="19" t="s">
        <v>38</v>
      </c>
      <c r="N415" s="19">
        <v>22</v>
      </c>
      <c r="O415" s="20">
        <v>45535</v>
      </c>
      <c r="P415" s="19">
        <v>294</v>
      </c>
      <c r="Q415" s="19" t="s">
        <v>23</v>
      </c>
      <c r="S415" s="20">
        <v>45604</v>
      </c>
      <c r="T415" s="19" t="s">
        <v>24</v>
      </c>
      <c r="U415" s="39">
        <f>Table1[[#This Row],[QUANTITY]]*Table1[[#This Row],[PRICE]]</f>
        <v>2215.25</v>
      </c>
    </row>
    <row r="416" spans="1:21">
      <c r="A416" s="19" t="s">
        <v>866</v>
      </c>
      <c r="B416" s="19" t="s">
        <v>26</v>
      </c>
      <c r="C416" s="19" t="s">
        <v>16</v>
      </c>
      <c r="D416" s="19" t="s">
        <v>53</v>
      </c>
      <c r="E416" s="20">
        <v>45764</v>
      </c>
      <c r="F416" s="19" t="s">
        <v>867</v>
      </c>
      <c r="G416" s="20">
        <v>45458</v>
      </c>
      <c r="H416" s="19" t="s">
        <v>62</v>
      </c>
      <c r="I416" s="19" t="s">
        <v>20</v>
      </c>
      <c r="J416" s="19" t="s">
        <v>21</v>
      </c>
      <c r="K416" s="19">
        <v>1</v>
      </c>
      <c r="L416" s="37">
        <v>646.32000000000005</v>
      </c>
      <c r="M416" s="19" t="s">
        <v>22</v>
      </c>
      <c r="N416" s="19">
        <v>18</v>
      </c>
      <c r="O416" s="20">
        <v>45656</v>
      </c>
      <c r="P416" s="19">
        <v>322</v>
      </c>
      <c r="Q416" s="19" t="s">
        <v>23</v>
      </c>
      <c r="R416" s="19">
        <v>2</v>
      </c>
      <c r="S416" s="20">
        <v>45736</v>
      </c>
      <c r="T416" s="19" t="s">
        <v>14</v>
      </c>
      <c r="U416" s="39">
        <f>Table1[[#This Row],[QUANTITY]]*Table1[[#This Row],[PRICE]]</f>
        <v>646.32000000000005</v>
      </c>
    </row>
    <row r="417" spans="1:21">
      <c r="A417" s="19" t="s">
        <v>868</v>
      </c>
      <c r="B417" s="19" t="s">
        <v>46</v>
      </c>
      <c r="C417" s="19" t="s">
        <v>6</v>
      </c>
      <c r="D417" s="19" t="s">
        <v>53</v>
      </c>
      <c r="E417" s="20">
        <v>45724</v>
      </c>
      <c r="F417" s="19" t="s">
        <v>869</v>
      </c>
      <c r="G417" s="20">
        <v>45458</v>
      </c>
      <c r="H417" s="19" t="s">
        <v>62</v>
      </c>
      <c r="I417" s="19" t="s">
        <v>51</v>
      </c>
      <c r="J417" s="19" t="s">
        <v>21</v>
      </c>
      <c r="K417" s="19">
        <v>5</v>
      </c>
      <c r="L417" s="37">
        <v>502.34</v>
      </c>
      <c r="M417" s="19" t="s">
        <v>22</v>
      </c>
      <c r="N417" s="19">
        <v>15</v>
      </c>
      <c r="O417" s="20">
        <v>45614</v>
      </c>
      <c r="P417" s="19">
        <v>269</v>
      </c>
      <c r="Q417" s="19" t="s">
        <v>13</v>
      </c>
      <c r="S417" s="20">
        <v>45545</v>
      </c>
      <c r="T417" s="19" t="s">
        <v>24</v>
      </c>
      <c r="U417" s="39">
        <f>Table1[[#This Row],[QUANTITY]]*Table1[[#This Row],[PRICE]]</f>
        <v>2511.6999999999998</v>
      </c>
    </row>
    <row r="418" spans="1:21">
      <c r="A418" s="19" t="s">
        <v>870</v>
      </c>
      <c r="B418" s="19" t="s">
        <v>26</v>
      </c>
      <c r="C418" s="19" t="s">
        <v>6</v>
      </c>
      <c r="D418" s="19" t="s">
        <v>7</v>
      </c>
      <c r="E418" s="20">
        <v>45770</v>
      </c>
      <c r="F418" s="19" t="s">
        <v>871</v>
      </c>
      <c r="G418" s="20">
        <v>45458</v>
      </c>
      <c r="H418" s="19" t="s">
        <v>19</v>
      </c>
      <c r="I418" s="19" t="s">
        <v>37</v>
      </c>
      <c r="J418" s="19" t="s">
        <v>41</v>
      </c>
      <c r="K418" s="19">
        <v>2</v>
      </c>
      <c r="L418" s="37">
        <v>1272.92</v>
      </c>
      <c r="M418" s="19" t="s">
        <v>12</v>
      </c>
      <c r="N418" s="19">
        <v>32</v>
      </c>
      <c r="O418" s="20">
        <v>45848</v>
      </c>
      <c r="P418" s="19">
        <v>314</v>
      </c>
      <c r="Q418" s="19" t="s">
        <v>13</v>
      </c>
      <c r="R418" s="19">
        <v>5</v>
      </c>
      <c r="S418" s="20">
        <v>45711</v>
      </c>
      <c r="T418" s="19" t="s">
        <v>14</v>
      </c>
      <c r="U418" s="39">
        <f>Table1[[#This Row],[QUANTITY]]*Table1[[#This Row],[PRICE]]</f>
        <v>2545.84</v>
      </c>
    </row>
    <row r="419" spans="1:21">
      <c r="A419" s="19" t="s">
        <v>872</v>
      </c>
      <c r="B419" s="19" t="s">
        <v>26</v>
      </c>
      <c r="C419" s="19" t="s">
        <v>27</v>
      </c>
      <c r="D419" s="19" t="s">
        <v>70</v>
      </c>
      <c r="E419" s="20">
        <v>45712</v>
      </c>
      <c r="F419" s="19" t="s">
        <v>873</v>
      </c>
      <c r="G419" s="20">
        <v>45458</v>
      </c>
      <c r="H419" s="19" t="s">
        <v>19</v>
      </c>
      <c r="I419" s="19" t="s">
        <v>10</v>
      </c>
      <c r="J419" s="19" t="s">
        <v>21</v>
      </c>
      <c r="K419" s="19">
        <v>3</v>
      </c>
      <c r="L419" s="37">
        <v>388.57</v>
      </c>
      <c r="M419" s="19" t="s">
        <v>38</v>
      </c>
      <c r="N419" s="19">
        <v>19</v>
      </c>
      <c r="O419" s="20">
        <v>45535</v>
      </c>
      <c r="P419" s="19">
        <v>67</v>
      </c>
      <c r="Q419" s="19" t="s">
        <v>23</v>
      </c>
      <c r="S419" s="20">
        <v>45696</v>
      </c>
      <c r="T419" s="19" t="s">
        <v>24</v>
      </c>
      <c r="U419" s="39">
        <f>Table1[[#This Row],[QUANTITY]]*Table1[[#This Row],[PRICE]]</f>
        <v>1165.71</v>
      </c>
    </row>
    <row r="420" spans="1:21">
      <c r="A420" s="19" t="s">
        <v>874</v>
      </c>
      <c r="B420" s="19" t="s">
        <v>5</v>
      </c>
      <c r="C420" s="19" t="s">
        <v>27</v>
      </c>
      <c r="D420" s="19" t="s">
        <v>70</v>
      </c>
      <c r="E420" s="20">
        <v>45802</v>
      </c>
      <c r="F420" s="19" t="s">
        <v>875</v>
      </c>
      <c r="G420" s="20">
        <v>45458</v>
      </c>
      <c r="H420" s="19" t="s">
        <v>19</v>
      </c>
      <c r="I420" s="19" t="s">
        <v>37</v>
      </c>
      <c r="J420" s="19" t="s">
        <v>11</v>
      </c>
      <c r="K420" s="19">
        <v>2</v>
      </c>
      <c r="L420" s="37">
        <v>744.2</v>
      </c>
      <c r="M420" s="19" t="s">
        <v>12</v>
      </c>
      <c r="N420" s="19">
        <v>17</v>
      </c>
      <c r="O420" s="20">
        <v>45654</v>
      </c>
      <c r="P420" s="19">
        <v>411</v>
      </c>
      <c r="Q420" s="19" t="s">
        <v>13</v>
      </c>
      <c r="R420" s="19">
        <v>2</v>
      </c>
      <c r="S420" s="20">
        <v>45837</v>
      </c>
      <c r="T420" s="19" t="s">
        <v>34</v>
      </c>
      <c r="U420" s="39">
        <f>Table1[[#This Row],[QUANTITY]]*Table1[[#This Row],[PRICE]]</f>
        <v>1488.4</v>
      </c>
    </row>
    <row r="421" spans="1:21">
      <c r="A421" s="19" t="s">
        <v>876</v>
      </c>
      <c r="B421" s="19" t="s">
        <v>5</v>
      </c>
      <c r="C421" s="19" t="s">
        <v>27</v>
      </c>
      <c r="D421" s="19" t="s">
        <v>7</v>
      </c>
      <c r="E421" s="20">
        <v>45493</v>
      </c>
      <c r="F421" s="19" t="s">
        <v>877</v>
      </c>
      <c r="G421" s="20">
        <v>45458</v>
      </c>
      <c r="H421" s="19" t="s">
        <v>29</v>
      </c>
      <c r="I421" s="19" t="s">
        <v>55</v>
      </c>
      <c r="J421" s="19" t="s">
        <v>21</v>
      </c>
      <c r="K421" s="19">
        <v>1</v>
      </c>
      <c r="L421" s="37">
        <v>1333.95</v>
      </c>
      <c r="M421" s="19" t="s">
        <v>38</v>
      </c>
      <c r="N421" s="19">
        <v>7</v>
      </c>
      <c r="O421" s="20">
        <v>45884</v>
      </c>
      <c r="P421" s="19">
        <v>155</v>
      </c>
      <c r="Q421" s="19" t="s">
        <v>13</v>
      </c>
      <c r="S421" s="20">
        <v>45553</v>
      </c>
      <c r="T421" s="19" t="s">
        <v>24</v>
      </c>
      <c r="U421" s="39">
        <f>Table1[[#This Row],[QUANTITY]]*Table1[[#This Row],[PRICE]]</f>
        <v>1333.95</v>
      </c>
    </row>
    <row r="422" spans="1:21">
      <c r="A422" s="19" t="s">
        <v>878</v>
      </c>
      <c r="B422" s="19" t="s">
        <v>5</v>
      </c>
      <c r="C422" s="19" t="s">
        <v>16</v>
      </c>
      <c r="D422" s="19" t="s">
        <v>70</v>
      </c>
      <c r="E422" s="20">
        <v>45429</v>
      </c>
      <c r="F422" s="19" t="s">
        <v>879</v>
      </c>
      <c r="G422" s="20">
        <v>45458</v>
      </c>
      <c r="H422" s="19" t="s">
        <v>29</v>
      </c>
      <c r="I422" s="19" t="s">
        <v>20</v>
      </c>
      <c r="J422" s="19" t="s">
        <v>41</v>
      </c>
      <c r="K422" s="19">
        <v>4</v>
      </c>
      <c r="L422" s="37">
        <v>1002.89</v>
      </c>
      <c r="M422" s="19" t="s">
        <v>12</v>
      </c>
      <c r="N422" s="19">
        <v>6</v>
      </c>
      <c r="O422" s="20">
        <v>45555</v>
      </c>
      <c r="P422" s="19">
        <v>79</v>
      </c>
      <c r="Q422" s="19" t="s">
        <v>13</v>
      </c>
      <c r="R422" s="19">
        <v>5</v>
      </c>
      <c r="S422" s="20">
        <v>45710</v>
      </c>
      <c r="T422" s="19" t="s">
        <v>34</v>
      </c>
      <c r="U422" s="39">
        <f>Table1[[#This Row],[QUANTITY]]*Table1[[#This Row],[PRICE]]</f>
        <v>4011.56</v>
      </c>
    </row>
    <row r="423" spans="1:21">
      <c r="A423" s="19" t="s">
        <v>880</v>
      </c>
      <c r="B423" s="19" t="s">
        <v>26</v>
      </c>
      <c r="C423" s="19" t="s">
        <v>27</v>
      </c>
      <c r="D423" s="19" t="s">
        <v>7</v>
      </c>
      <c r="E423" s="20">
        <v>45177</v>
      </c>
      <c r="F423" s="19" t="s">
        <v>881</v>
      </c>
      <c r="G423" s="20">
        <v>45458</v>
      </c>
      <c r="H423" s="19" t="s">
        <v>44</v>
      </c>
      <c r="I423" s="19" t="s">
        <v>51</v>
      </c>
      <c r="J423" s="19" t="s">
        <v>48</v>
      </c>
      <c r="K423" s="19">
        <v>4</v>
      </c>
      <c r="L423" s="37">
        <v>534.9</v>
      </c>
      <c r="M423" s="19" t="s">
        <v>12</v>
      </c>
      <c r="N423" s="19">
        <v>30</v>
      </c>
      <c r="O423" s="20">
        <v>45594</v>
      </c>
      <c r="P423" s="19">
        <v>416</v>
      </c>
      <c r="Q423" s="19" t="s">
        <v>13</v>
      </c>
      <c r="R423" s="19">
        <v>3</v>
      </c>
      <c r="S423" s="20">
        <v>45575</v>
      </c>
      <c r="T423" s="19" t="s">
        <v>34</v>
      </c>
      <c r="U423" s="39">
        <f>Table1[[#This Row],[QUANTITY]]*Table1[[#This Row],[PRICE]]</f>
        <v>2139.6</v>
      </c>
    </row>
    <row r="424" spans="1:21">
      <c r="A424" s="19" t="s">
        <v>882</v>
      </c>
      <c r="B424" s="19" t="s">
        <v>26</v>
      </c>
      <c r="C424" s="19" t="s">
        <v>6</v>
      </c>
      <c r="D424" s="19" t="s">
        <v>53</v>
      </c>
      <c r="E424" s="20">
        <v>45392</v>
      </c>
      <c r="F424" s="19" t="s">
        <v>883</v>
      </c>
      <c r="G424" s="20">
        <v>45459</v>
      </c>
      <c r="H424" s="19" t="s">
        <v>62</v>
      </c>
      <c r="I424" s="19" t="s">
        <v>55</v>
      </c>
      <c r="J424" s="19" t="s">
        <v>48</v>
      </c>
      <c r="K424" s="19">
        <v>4</v>
      </c>
      <c r="L424" s="37">
        <v>463.13</v>
      </c>
      <c r="M424" s="19" t="s">
        <v>38</v>
      </c>
      <c r="N424" s="19">
        <v>46</v>
      </c>
      <c r="O424" s="20">
        <v>45789</v>
      </c>
      <c r="P424" s="19">
        <v>55</v>
      </c>
      <c r="Q424" s="19" t="s">
        <v>13</v>
      </c>
      <c r="R424" s="19">
        <v>1</v>
      </c>
      <c r="S424" s="20">
        <v>45775</v>
      </c>
      <c r="T424" s="19" t="s">
        <v>34</v>
      </c>
      <c r="U424" s="39">
        <f>Table1[[#This Row],[QUANTITY]]*Table1[[#This Row],[PRICE]]</f>
        <v>1852.52</v>
      </c>
    </row>
    <row r="425" spans="1:21">
      <c r="A425" s="19" t="s">
        <v>884</v>
      </c>
      <c r="B425" s="19" t="s">
        <v>26</v>
      </c>
      <c r="C425" s="19" t="s">
        <v>6</v>
      </c>
      <c r="D425" s="19" t="s">
        <v>31</v>
      </c>
      <c r="E425" s="20">
        <v>45382</v>
      </c>
      <c r="F425" s="19" t="s">
        <v>885</v>
      </c>
      <c r="G425" s="20">
        <v>45459</v>
      </c>
      <c r="H425" s="19" t="s">
        <v>19</v>
      </c>
      <c r="I425" s="19" t="s">
        <v>37</v>
      </c>
      <c r="J425" s="19" t="s">
        <v>11</v>
      </c>
      <c r="K425" s="19">
        <v>2</v>
      </c>
      <c r="L425" s="37">
        <v>373.18</v>
      </c>
      <c r="M425" s="19" t="s">
        <v>12</v>
      </c>
      <c r="N425" s="19">
        <v>42</v>
      </c>
      <c r="O425" s="20">
        <v>45548</v>
      </c>
      <c r="P425" s="19">
        <v>23</v>
      </c>
      <c r="Q425" s="19" t="s">
        <v>23</v>
      </c>
      <c r="R425" s="19">
        <v>5</v>
      </c>
      <c r="S425" s="20">
        <v>45683</v>
      </c>
      <c r="T425" s="19" t="s">
        <v>14</v>
      </c>
      <c r="U425" s="39">
        <f>Table1[[#This Row],[QUANTITY]]*Table1[[#This Row],[PRICE]]</f>
        <v>746.36</v>
      </c>
    </row>
    <row r="426" spans="1:21">
      <c r="A426" s="19" t="s">
        <v>886</v>
      </c>
      <c r="B426" s="19" t="s">
        <v>26</v>
      </c>
      <c r="C426" s="19" t="s">
        <v>6</v>
      </c>
      <c r="D426" s="19" t="s">
        <v>31</v>
      </c>
      <c r="E426" s="20">
        <v>45441</v>
      </c>
      <c r="F426" s="19" t="s">
        <v>887</v>
      </c>
      <c r="G426" s="20">
        <v>45459</v>
      </c>
      <c r="H426" s="19" t="s">
        <v>29</v>
      </c>
      <c r="I426" s="19" t="s">
        <v>10</v>
      </c>
      <c r="J426" s="19" t="s">
        <v>48</v>
      </c>
      <c r="K426" s="19">
        <v>5</v>
      </c>
      <c r="L426" s="37">
        <v>1285.55</v>
      </c>
      <c r="M426" s="19" t="s">
        <v>22</v>
      </c>
      <c r="N426" s="19">
        <v>49</v>
      </c>
      <c r="O426" s="20">
        <v>45704</v>
      </c>
      <c r="P426" s="19">
        <v>423</v>
      </c>
      <c r="Q426" s="19" t="s">
        <v>23</v>
      </c>
      <c r="R426" s="19">
        <v>2</v>
      </c>
      <c r="S426" s="20">
        <v>45592</v>
      </c>
      <c r="T426" s="19" t="s">
        <v>14</v>
      </c>
      <c r="U426" s="39">
        <f>Table1[[#This Row],[QUANTITY]]*Table1[[#This Row],[PRICE]]</f>
        <v>6427.75</v>
      </c>
    </row>
    <row r="427" spans="1:21">
      <c r="A427" s="19" t="s">
        <v>888</v>
      </c>
      <c r="B427" s="19" t="s">
        <v>5</v>
      </c>
      <c r="C427" s="19" t="s">
        <v>16</v>
      </c>
      <c r="D427" s="19" t="s">
        <v>70</v>
      </c>
      <c r="E427" s="20">
        <v>45858</v>
      </c>
      <c r="F427" s="19" t="s">
        <v>889</v>
      </c>
      <c r="G427" s="20">
        <v>45459</v>
      </c>
      <c r="H427" s="19" t="s">
        <v>9</v>
      </c>
      <c r="I427" s="19" t="s">
        <v>55</v>
      </c>
      <c r="J427" s="19" t="s">
        <v>33</v>
      </c>
      <c r="K427" s="19">
        <v>3</v>
      </c>
      <c r="L427" s="37">
        <v>1097.71</v>
      </c>
      <c r="M427" s="19" t="s">
        <v>22</v>
      </c>
      <c r="N427" s="19">
        <v>35</v>
      </c>
      <c r="O427" s="20">
        <v>45680</v>
      </c>
      <c r="P427" s="19">
        <v>7</v>
      </c>
      <c r="Q427" s="19" t="s">
        <v>23</v>
      </c>
      <c r="R427" s="19">
        <v>3</v>
      </c>
      <c r="S427" s="20">
        <v>45783</v>
      </c>
      <c r="T427" s="19" t="s">
        <v>34</v>
      </c>
      <c r="U427" s="39">
        <f>Table1[[#This Row],[QUANTITY]]*Table1[[#This Row],[PRICE]]</f>
        <v>3293.13</v>
      </c>
    </row>
    <row r="428" spans="1:21">
      <c r="A428" s="19" t="s">
        <v>890</v>
      </c>
      <c r="B428" s="19" t="s">
        <v>26</v>
      </c>
      <c r="C428" s="19" t="s">
        <v>27</v>
      </c>
      <c r="D428" s="19" t="s">
        <v>7</v>
      </c>
      <c r="E428" s="20">
        <v>45874</v>
      </c>
      <c r="F428" s="19" t="s">
        <v>891</v>
      </c>
      <c r="G428" s="20">
        <v>45459</v>
      </c>
      <c r="H428" s="19" t="s">
        <v>62</v>
      </c>
      <c r="I428" s="19" t="s">
        <v>37</v>
      </c>
      <c r="J428" s="19" t="s">
        <v>21</v>
      </c>
      <c r="K428" s="19">
        <v>4</v>
      </c>
      <c r="L428" s="37">
        <v>967.23</v>
      </c>
      <c r="M428" s="19" t="s">
        <v>12</v>
      </c>
      <c r="N428" s="19">
        <v>22</v>
      </c>
      <c r="O428" s="20">
        <v>45880</v>
      </c>
      <c r="P428" s="19">
        <v>366</v>
      </c>
      <c r="Q428" s="19" t="s">
        <v>23</v>
      </c>
      <c r="R428" s="19">
        <v>5</v>
      </c>
      <c r="S428" s="20">
        <v>45708</v>
      </c>
      <c r="T428" s="19" t="s">
        <v>14</v>
      </c>
      <c r="U428" s="39">
        <f>Table1[[#This Row],[QUANTITY]]*Table1[[#This Row],[PRICE]]</f>
        <v>3868.92</v>
      </c>
    </row>
    <row r="429" spans="1:21">
      <c r="A429" s="19" t="s">
        <v>892</v>
      </c>
      <c r="B429" s="19" t="s">
        <v>46</v>
      </c>
      <c r="C429" s="19" t="s">
        <v>27</v>
      </c>
      <c r="D429" s="19" t="s">
        <v>31</v>
      </c>
      <c r="E429" s="20">
        <v>45431</v>
      </c>
      <c r="F429" s="19" t="s">
        <v>893</v>
      </c>
      <c r="G429" s="20">
        <v>45459</v>
      </c>
      <c r="H429" s="19" t="s">
        <v>9</v>
      </c>
      <c r="I429" s="19" t="s">
        <v>37</v>
      </c>
      <c r="J429" s="19" t="s">
        <v>41</v>
      </c>
      <c r="K429" s="19">
        <v>2</v>
      </c>
      <c r="L429" s="37">
        <v>341.84</v>
      </c>
      <c r="M429" s="19" t="s">
        <v>12</v>
      </c>
      <c r="N429" s="19">
        <v>35</v>
      </c>
      <c r="O429" s="20">
        <v>45552</v>
      </c>
      <c r="P429" s="19">
        <v>192</v>
      </c>
      <c r="Q429" s="19" t="s">
        <v>23</v>
      </c>
      <c r="R429" s="19">
        <v>4</v>
      </c>
      <c r="S429" s="20">
        <v>45643</v>
      </c>
      <c r="T429" s="19" t="s">
        <v>14</v>
      </c>
      <c r="U429" s="39">
        <f>Table1[[#This Row],[QUANTITY]]*Table1[[#This Row],[PRICE]]</f>
        <v>683.68</v>
      </c>
    </row>
    <row r="430" spans="1:21">
      <c r="A430" s="19" t="s">
        <v>894</v>
      </c>
      <c r="B430" s="19" t="s">
        <v>46</v>
      </c>
      <c r="C430" s="19" t="s">
        <v>16</v>
      </c>
      <c r="D430" s="19" t="s">
        <v>17</v>
      </c>
      <c r="E430" s="20">
        <v>45483</v>
      </c>
      <c r="F430" s="19" t="s">
        <v>895</v>
      </c>
      <c r="G430" s="20">
        <v>45459</v>
      </c>
      <c r="H430" s="19" t="s">
        <v>29</v>
      </c>
      <c r="I430" s="19" t="s">
        <v>37</v>
      </c>
      <c r="J430" s="19" t="s">
        <v>48</v>
      </c>
      <c r="K430" s="19">
        <v>4</v>
      </c>
      <c r="L430" s="37">
        <v>492.56</v>
      </c>
      <c r="M430" s="19" t="s">
        <v>22</v>
      </c>
      <c r="N430" s="19">
        <v>26</v>
      </c>
      <c r="O430" s="20">
        <v>45767</v>
      </c>
      <c r="P430" s="19">
        <v>179</v>
      </c>
      <c r="Q430" s="19" t="s">
        <v>23</v>
      </c>
      <c r="R430" s="19">
        <v>2</v>
      </c>
      <c r="S430" s="20">
        <v>45585</v>
      </c>
      <c r="T430" s="19" t="s">
        <v>34</v>
      </c>
      <c r="U430" s="39">
        <f>Table1[[#This Row],[QUANTITY]]*Table1[[#This Row],[PRICE]]</f>
        <v>1970.24</v>
      </c>
    </row>
    <row r="431" spans="1:21">
      <c r="A431" s="19" t="s">
        <v>896</v>
      </c>
      <c r="B431" s="19" t="s">
        <v>46</v>
      </c>
      <c r="C431" s="19" t="s">
        <v>6</v>
      </c>
      <c r="D431" s="19" t="s">
        <v>70</v>
      </c>
      <c r="E431" s="20">
        <v>45626</v>
      </c>
      <c r="F431" s="19" t="s">
        <v>897</v>
      </c>
      <c r="G431" s="20">
        <v>45459</v>
      </c>
      <c r="H431" s="19" t="s">
        <v>62</v>
      </c>
      <c r="I431" s="19" t="s">
        <v>10</v>
      </c>
      <c r="J431" s="19" t="s">
        <v>48</v>
      </c>
      <c r="K431" s="19">
        <v>1</v>
      </c>
      <c r="L431" s="37">
        <v>1020.1</v>
      </c>
      <c r="M431" s="19" t="s">
        <v>12</v>
      </c>
      <c r="N431" s="19">
        <v>34</v>
      </c>
      <c r="O431" s="20">
        <v>45862</v>
      </c>
      <c r="P431" s="19">
        <v>45</v>
      </c>
      <c r="Q431" s="19" t="s">
        <v>13</v>
      </c>
      <c r="R431" s="19">
        <v>3</v>
      </c>
      <c r="S431" s="20">
        <v>45735</v>
      </c>
      <c r="T431" s="19" t="s">
        <v>14</v>
      </c>
      <c r="U431" s="39">
        <f>Table1[[#This Row],[QUANTITY]]*Table1[[#This Row],[PRICE]]</f>
        <v>1020.1</v>
      </c>
    </row>
    <row r="432" spans="1:21">
      <c r="A432" s="19" t="s">
        <v>898</v>
      </c>
      <c r="B432" s="19" t="s">
        <v>26</v>
      </c>
      <c r="C432" s="19" t="s">
        <v>6</v>
      </c>
      <c r="D432" s="19" t="s">
        <v>7</v>
      </c>
      <c r="E432" s="20">
        <v>45427</v>
      </c>
      <c r="F432" s="19" t="s">
        <v>899</v>
      </c>
      <c r="G432" s="20">
        <v>45459</v>
      </c>
      <c r="H432" s="19" t="s">
        <v>44</v>
      </c>
      <c r="I432" s="19" t="s">
        <v>37</v>
      </c>
      <c r="J432" s="19" t="s">
        <v>21</v>
      </c>
      <c r="K432" s="19">
        <v>2</v>
      </c>
      <c r="L432" s="37">
        <v>1048.1600000000001</v>
      </c>
      <c r="M432" s="19" t="s">
        <v>38</v>
      </c>
      <c r="N432" s="19">
        <v>21</v>
      </c>
      <c r="O432" s="20">
        <v>45566</v>
      </c>
      <c r="P432" s="19">
        <v>118</v>
      </c>
      <c r="Q432" s="19" t="s">
        <v>13</v>
      </c>
      <c r="R432" s="19">
        <v>1</v>
      </c>
      <c r="S432" s="20">
        <v>45816</v>
      </c>
      <c r="T432" s="19" t="s">
        <v>14</v>
      </c>
      <c r="U432" s="39">
        <f>Table1[[#This Row],[QUANTITY]]*Table1[[#This Row],[PRICE]]</f>
        <v>2096.3200000000002</v>
      </c>
    </row>
    <row r="433" spans="1:21">
      <c r="A433" s="19" t="s">
        <v>900</v>
      </c>
      <c r="B433" s="19" t="s">
        <v>5</v>
      </c>
      <c r="C433" s="19" t="s">
        <v>16</v>
      </c>
      <c r="D433" s="19" t="s">
        <v>7</v>
      </c>
      <c r="E433" s="20">
        <v>45334</v>
      </c>
      <c r="F433" s="19" t="s">
        <v>901</v>
      </c>
      <c r="G433" s="20">
        <v>45459</v>
      </c>
      <c r="H433" s="19" t="s">
        <v>9</v>
      </c>
      <c r="I433" s="19" t="s">
        <v>20</v>
      </c>
      <c r="J433" s="19" t="s">
        <v>41</v>
      </c>
      <c r="K433" s="19">
        <v>1</v>
      </c>
      <c r="L433" s="37">
        <v>1118.93</v>
      </c>
      <c r="M433" s="19" t="s">
        <v>22</v>
      </c>
      <c r="N433" s="19">
        <v>10</v>
      </c>
      <c r="O433" s="20">
        <v>45794</v>
      </c>
      <c r="P433" s="19">
        <v>360</v>
      </c>
      <c r="Q433" s="19" t="s">
        <v>13</v>
      </c>
      <c r="R433" s="19">
        <v>1</v>
      </c>
      <c r="S433" s="20">
        <v>45822</v>
      </c>
      <c r="T433" s="19" t="s">
        <v>14</v>
      </c>
      <c r="U433" s="39">
        <f>Table1[[#This Row],[QUANTITY]]*Table1[[#This Row],[PRICE]]</f>
        <v>1118.93</v>
      </c>
    </row>
    <row r="434" spans="1:21">
      <c r="A434" s="19" t="s">
        <v>902</v>
      </c>
      <c r="B434" s="19" t="s">
        <v>5</v>
      </c>
      <c r="C434" s="19" t="s">
        <v>27</v>
      </c>
      <c r="D434" s="19" t="s">
        <v>70</v>
      </c>
      <c r="E434" s="20">
        <v>45652</v>
      </c>
      <c r="F434" s="19" t="s">
        <v>903</v>
      </c>
      <c r="G434" s="20">
        <v>45459</v>
      </c>
      <c r="H434" s="19" t="s">
        <v>44</v>
      </c>
      <c r="I434" s="19" t="s">
        <v>20</v>
      </c>
      <c r="J434" s="19" t="s">
        <v>41</v>
      </c>
      <c r="K434" s="19">
        <v>1</v>
      </c>
      <c r="L434" s="37">
        <v>1060.48</v>
      </c>
      <c r="M434" s="19" t="s">
        <v>38</v>
      </c>
      <c r="N434" s="19">
        <v>17</v>
      </c>
      <c r="O434" s="20">
        <v>45831</v>
      </c>
      <c r="P434" s="19">
        <v>423</v>
      </c>
      <c r="Q434" s="19" t="s">
        <v>13</v>
      </c>
      <c r="R434" s="19">
        <v>3</v>
      </c>
      <c r="S434" s="20">
        <v>45586</v>
      </c>
      <c r="T434" s="19" t="s">
        <v>34</v>
      </c>
      <c r="U434" s="39">
        <f>Table1[[#This Row],[QUANTITY]]*Table1[[#This Row],[PRICE]]</f>
        <v>1060.48</v>
      </c>
    </row>
    <row r="435" spans="1:21">
      <c r="A435" s="19" t="s">
        <v>904</v>
      </c>
      <c r="B435" s="19" t="s">
        <v>26</v>
      </c>
      <c r="C435" s="19" t="s">
        <v>27</v>
      </c>
      <c r="D435" s="19" t="s">
        <v>7</v>
      </c>
      <c r="E435" s="20">
        <v>45255</v>
      </c>
      <c r="F435" s="19" t="s">
        <v>905</v>
      </c>
      <c r="G435" s="20">
        <v>45459</v>
      </c>
      <c r="H435" s="19" t="s">
        <v>9</v>
      </c>
      <c r="I435" s="19" t="s">
        <v>51</v>
      </c>
      <c r="J435" s="19" t="s">
        <v>41</v>
      </c>
      <c r="K435" s="19">
        <v>1</v>
      </c>
      <c r="L435" s="37">
        <v>1325.11</v>
      </c>
      <c r="M435" s="19" t="s">
        <v>22</v>
      </c>
      <c r="N435" s="19">
        <v>31</v>
      </c>
      <c r="O435" s="20">
        <v>45750</v>
      </c>
      <c r="P435" s="19">
        <v>102</v>
      </c>
      <c r="Q435" s="19" t="s">
        <v>13</v>
      </c>
      <c r="S435" s="20">
        <v>45532</v>
      </c>
      <c r="T435" s="19" t="s">
        <v>24</v>
      </c>
      <c r="U435" s="39">
        <f>Table1[[#This Row],[QUANTITY]]*Table1[[#This Row],[PRICE]]</f>
        <v>1325.11</v>
      </c>
    </row>
    <row r="436" spans="1:21">
      <c r="A436" s="19" t="s">
        <v>906</v>
      </c>
      <c r="B436" s="19" t="s">
        <v>5</v>
      </c>
      <c r="C436" s="19" t="s">
        <v>16</v>
      </c>
      <c r="D436" s="19" t="s">
        <v>53</v>
      </c>
      <c r="E436" s="20">
        <v>45669</v>
      </c>
      <c r="F436" s="19" t="s">
        <v>907</v>
      </c>
      <c r="G436" s="20">
        <v>45459</v>
      </c>
      <c r="H436" s="19" t="s">
        <v>62</v>
      </c>
      <c r="I436" s="19" t="s">
        <v>51</v>
      </c>
      <c r="J436" s="19" t="s">
        <v>33</v>
      </c>
      <c r="K436" s="19">
        <v>3</v>
      </c>
      <c r="L436" s="37">
        <v>836.58</v>
      </c>
      <c r="M436" s="19" t="s">
        <v>12</v>
      </c>
      <c r="N436" s="19">
        <v>4</v>
      </c>
      <c r="O436" s="20">
        <v>45855</v>
      </c>
      <c r="P436" s="19">
        <v>270</v>
      </c>
      <c r="Q436" s="19" t="s">
        <v>13</v>
      </c>
      <c r="S436" s="20">
        <v>45881</v>
      </c>
      <c r="T436" s="19" t="s">
        <v>24</v>
      </c>
      <c r="U436" s="39">
        <f>Table1[[#This Row],[QUANTITY]]*Table1[[#This Row],[PRICE]]</f>
        <v>2509.7400000000002</v>
      </c>
    </row>
    <row r="437" spans="1:21">
      <c r="A437" s="19" t="s">
        <v>908</v>
      </c>
      <c r="B437" s="19" t="s">
        <v>5</v>
      </c>
      <c r="C437" s="19" t="s">
        <v>27</v>
      </c>
      <c r="D437" s="19" t="s">
        <v>17</v>
      </c>
      <c r="E437" s="20">
        <v>45328</v>
      </c>
      <c r="F437" s="19" t="s">
        <v>909</v>
      </c>
      <c r="G437" s="20">
        <v>45460</v>
      </c>
      <c r="H437" s="19" t="s">
        <v>44</v>
      </c>
      <c r="I437" s="19" t="s">
        <v>51</v>
      </c>
      <c r="J437" s="19" t="s">
        <v>11</v>
      </c>
      <c r="K437" s="19">
        <v>5</v>
      </c>
      <c r="L437" s="37">
        <v>127.06</v>
      </c>
      <c r="M437" s="19" t="s">
        <v>38</v>
      </c>
      <c r="N437" s="19">
        <v>1</v>
      </c>
      <c r="O437" s="20">
        <v>45805</v>
      </c>
      <c r="P437" s="19">
        <v>307</v>
      </c>
      <c r="Q437" s="19" t="s">
        <v>23</v>
      </c>
      <c r="R437" s="19">
        <v>5</v>
      </c>
      <c r="S437" s="20">
        <v>45729</v>
      </c>
      <c r="T437" s="19" t="s">
        <v>14</v>
      </c>
      <c r="U437" s="39">
        <f>Table1[[#This Row],[QUANTITY]]*Table1[[#This Row],[PRICE]]</f>
        <v>635.29999999999995</v>
      </c>
    </row>
    <row r="438" spans="1:21">
      <c r="A438" s="19" t="s">
        <v>910</v>
      </c>
      <c r="B438" s="19" t="s">
        <v>5</v>
      </c>
      <c r="C438" s="19" t="s">
        <v>6</v>
      </c>
      <c r="D438" s="19" t="s">
        <v>70</v>
      </c>
      <c r="E438" s="20">
        <v>45328</v>
      </c>
      <c r="F438" s="19" t="s">
        <v>911</v>
      </c>
      <c r="G438" s="20">
        <v>45460</v>
      </c>
      <c r="H438" s="19" t="s">
        <v>19</v>
      </c>
      <c r="I438" s="19" t="s">
        <v>55</v>
      </c>
      <c r="J438" s="19" t="s">
        <v>41</v>
      </c>
      <c r="K438" s="19">
        <v>4</v>
      </c>
      <c r="L438" s="37">
        <v>943.53</v>
      </c>
      <c r="M438" s="19" t="s">
        <v>22</v>
      </c>
      <c r="N438" s="19">
        <v>7</v>
      </c>
      <c r="O438" s="20">
        <v>45788</v>
      </c>
      <c r="P438" s="19">
        <v>353</v>
      </c>
      <c r="Q438" s="19" t="s">
        <v>13</v>
      </c>
      <c r="R438" s="19">
        <v>1</v>
      </c>
      <c r="S438" s="20">
        <v>45541</v>
      </c>
      <c r="T438" s="19" t="s">
        <v>34</v>
      </c>
      <c r="U438" s="39">
        <f>Table1[[#This Row],[QUANTITY]]*Table1[[#This Row],[PRICE]]</f>
        <v>3774.12</v>
      </c>
    </row>
    <row r="439" spans="1:21">
      <c r="A439" s="19" t="s">
        <v>912</v>
      </c>
      <c r="B439" s="19" t="s">
        <v>5</v>
      </c>
      <c r="C439" s="19" t="s">
        <v>16</v>
      </c>
      <c r="D439" s="19" t="s">
        <v>31</v>
      </c>
      <c r="E439" s="20">
        <v>45775</v>
      </c>
      <c r="F439" s="19" t="s">
        <v>913</v>
      </c>
      <c r="G439" s="20">
        <v>45460</v>
      </c>
      <c r="H439" s="19" t="s">
        <v>19</v>
      </c>
      <c r="I439" s="19" t="s">
        <v>37</v>
      </c>
      <c r="J439" s="19" t="s">
        <v>41</v>
      </c>
      <c r="K439" s="19">
        <v>1</v>
      </c>
      <c r="L439" s="37">
        <v>746.89</v>
      </c>
      <c r="M439" s="19" t="s">
        <v>38</v>
      </c>
      <c r="N439" s="19">
        <v>22</v>
      </c>
      <c r="O439" s="20">
        <v>45581</v>
      </c>
      <c r="P439" s="19">
        <v>113</v>
      </c>
      <c r="Q439" s="19" t="s">
        <v>23</v>
      </c>
      <c r="R439" s="19">
        <v>5</v>
      </c>
      <c r="S439" s="20">
        <v>45697</v>
      </c>
      <c r="T439" s="19" t="s">
        <v>34</v>
      </c>
      <c r="U439" s="39">
        <f>Table1[[#This Row],[QUANTITY]]*Table1[[#This Row],[PRICE]]</f>
        <v>746.89</v>
      </c>
    </row>
    <row r="440" spans="1:21">
      <c r="A440" s="19" t="s">
        <v>914</v>
      </c>
      <c r="B440" s="19" t="s">
        <v>26</v>
      </c>
      <c r="C440" s="19" t="s">
        <v>6</v>
      </c>
      <c r="D440" s="19" t="s">
        <v>7</v>
      </c>
      <c r="E440" s="20">
        <v>45803</v>
      </c>
      <c r="F440" s="19" t="s">
        <v>915</v>
      </c>
      <c r="G440" s="20">
        <v>45460</v>
      </c>
      <c r="H440" s="19" t="s">
        <v>9</v>
      </c>
      <c r="I440" s="19" t="s">
        <v>55</v>
      </c>
      <c r="J440" s="19" t="s">
        <v>48</v>
      </c>
      <c r="K440" s="19">
        <v>3</v>
      </c>
      <c r="L440" s="37">
        <v>586.33000000000004</v>
      </c>
      <c r="M440" s="19" t="s">
        <v>38</v>
      </c>
      <c r="N440" s="19">
        <v>41</v>
      </c>
      <c r="O440" s="20">
        <v>45559</v>
      </c>
      <c r="P440" s="19">
        <v>465</v>
      </c>
      <c r="Q440" s="19" t="s">
        <v>23</v>
      </c>
      <c r="R440" s="19">
        <v>3</v>
      </c>
      <c r="S440" s="20">
        <v>45757</v>
      </c>
      <c r="T440" s="19" t="s">
        <v>14</v>
      </c>
      <c r="U440" s="39">
        <f>Table1[[#This Row],[QUANTITY]]*Table1[[#This Row],[PRICE]]</f>
        <v>1758.9900000000002</v>
      </c>
    </row>
    <row r="441" spans="1:21">
      <c r="A441" s="19" t="s">
        <v>916</v>
      </c>
      <c r="B441" s="19" t="s">
        <v>5</v>
      </c>
      <c r="C441" s="19" t="s">
        <v>6</v>
      </c>
      <c r="D441" s="19" t="s">
        <v>31</v>
      </c>
      <c r="E441" s="20">
        <v>45202</v>
      </c>
      <c r="F441" s="19" t="s">
        <v>917</v>
      </c>
      <c r="G441" s="20">
        <v>45460</v>
      </c>
      <c r="H441" s="19" t="s">
        <v>62</v>
      </c>
      <c r="I441" s="19" t="s">
        <v>55</v>
      </c>
      <c r="J441" s="19" t="s">
        <v>11</v>
      </c>
      <c r="K441" s="19">
        <v>1</v>
      </c>
      <c r="L441" s="37">
        <v>808.87</v>
      </c>
      <c r="M441" s="19" t="s">
        <v>38</v>
      </c>
      <c r="N441" s="19">
        <v>19</v>
      </c>
      <c r="O441" s="20">
        <v>45571</v>
      </c>
      <c r="P441" s="19">
        <v>47</v>
      </c>
      <c r="Q441" s="19" t="s">
        <v>23</v>
      </c>
      <c r="R441" s="19">
        <v>2</v>
      </c>
      <c r="S441" s="20">
        <v>45753</v>
      </c>
      <c r="T441" s="19" t="s">
        <v>14</v>
      </c>
      <c r="U441" s="39">
        <f>Table1[[#This Row],[QUANTITY]]*Table1[[#This Row],[PRICE]]</f>
        <v>808.87</v>
      </c>
    </row>
    <row r="442" spans="1:21">
      <c r="A442" s="19" t="s">
        <v>918</v>
      </c>
      <c r="B442" s="19" t="s">
        <v>46</v>
      </c>
      <c r="C442" s="19" t="s">
        <v>27</v>
      </c>
      <c r="D442" s="19" t="s">
        <v>70</v>
      </c>
      <c r="E442" s="20">
        <v>45856</v>
      </c>
      <c r="F442" s="19" t="s">
        <v>919</v>
      </c>
      <c r="G442" s="20">
        <v>45460</v>
      </c>
      <c r="H442" s="19" t="s">
        <v>44</v>
      </c>
      <c r="I442" s="19" t="s">
        <v>51</v>
      </c>
      <c r="J442" s="19" t="s">
        <v>21</v>
      </c>
      <c r="K442" s="19">
        <v>2</v>
      </c>
      <c r="L442" s="37">
        <v>1108.26</v>
      </c>
      <c r="M442" s="19" t="s">
        <v>22</v>
      </c>
      <c r="N442" s="19">
        <v>19</v>
      </c>
      <c r="O442" s="20">
        <v>45768</v>
      </c>
      <c r="P442" s="19">
        <v>468</v>
      </c>
      <c r="Q442" s="19" t="s">
        <v>13</v>
      </c>
      <c r="R442" s="19">
        <v>2</v>
      </c>
      <c r="S442" s="20">
        <v>45822</v>
      </c>
      <c r="T442" s="19" t="s">
        <v>34</v>
      </c>
      <c r="U442" s="39">
        <f>Table1[[#This Row],[QUANTITY]]*Table1[[#This Row],[PRICE]]</f>
        <v>2216.52</v>
      </c>
    </row>
    <row r="443" spans="1:21">
      <c r="A443" s="19" t="s">
        <v>920</v>
      </c>
      <c r="B443" s="19" t="s">
        <v>46</v>
      </c>
      <c r="C443" s="19" t="s">
        <v>6</v>
      </c>
      <c r="D443" s="19" t="s">
        <v>53</v>
      </c>
      <c r="E443" s="20">
        <v>45273</v>
      </c>
      <c r="F443" s="19" t="s">
        <v>921</v>
      </c>
      <c r="G443" s="20">
        <v>45460</v>
      </c>
      <c r="H443" s="19" t="s">
        <v>9</v>
      </c>
      <c r="I443" s="19" t="s">
        <v>37</v>
      </c>
      <c r="J443" s="19" t="s">
        <v>48</v>
      </c>
      <c r="K443" s="19">
        <v>5</v>
      </c>
      <c r="L443" s="37">
        <v>1268.0899999999999</v>
      </c>
      <c r="M443" s="19" t="s">
        <v>38</v>
      </c>
      <c r="N443" s="19">
        <v>29</v>
      </c>
      <c r="O443" s="20">
        <v>45736</v>
      </c>
      <c r="P443" s="19">
        <v>352</v>
      </c>
      <c r="Q443" s="19" t="s">
        <v>23</v>
      </c>
      <c r="R443" s="19">
        <v>2</v>
      </c>
      <c r="S443" s="20">
        <v>45763</v>
      </c>
      <c r="T443" s="19" t="s">
        <v>34</v>
      </c>
      <c r="U443" s="39">
        <f>Table1[[#This Row],[QUANTITY]]*Table1[[#This Row],[PRICE]]</f>
        <v>6340.45</v>
      </c>
    </row>
    <row r="444" spans="1:21">
      <c r="A444" s="19" t="s">
        <v>922</v>
      </c>
      <c r="B444" s="19" t="s">
        <v>26</v>
      </c>
      <c r="C444" s="19" t="s">
        <v>6</v>
      </c>
      <c r="D444" s="19" t="s">
        <v>17</v>
      </c>
      <c r="E444" s="20">
        <v>45890</v>
      </c>
      <c r="F444" s="19" t="s">
        <v>923</v>
      </c>
      <c r="G444" s="20">
        <v>45460</v>
      </c>
      <c r="H444" s="19" t="s">
        <v>29</v>
      </c>
      <c r="I444" s="19" t="s">
        <v>51</v>
      </c>
      <c r="J444" s="19" t="s">
        <v>33</v>
      </c>
      <c r="K444" s="19">
        <v>5</v>
      </c>
      <c r="L444" s="37">
        <v>1307.6600000000001</v>
      </c>
      <c r="M444" s="19" t="s">
        <v>38</v>
      </c>
      <c r="N444" s="19">
        <v>29</v>
      </c>
      <c r="O444" s="20">
        <v>45867</v>
      </c>
      <c r="P444" s="19">
        <v>193</v>
      </c>
      <c r="Q444" s="19" t="s">
        <v>23</v>
      </c>
      <c r="S444" s="20">
        <v>45773</v>
      </c>
      <c r="T444" s="19" t="s">
        <v>24</v>
      </c>
      <c r="U444" s="39">
        <f>Table1[[#This Row],[QUANTITY]]*Table1[[#This Row],[PRICE]]</f>
        <v>6538.3</v>
      </c>
    </row>
    <row r="445" spans="1:21">
      <c r="A445" s="19" t="s">
        <v>924</v>
      </c>
      <c r="B445" s="19" t="s">
        <v>5</v>
      </c>
      <c r="C445" s="19" t="s">
        <v>16</v>
      </c>
      <c r="D445" s="19" t="s">
        <v>17</v>
      </c>
      <c r="E445" s="20">
        <v>45266</v>
      </c>
      <c r="F445" s="19" t="s">
        <v>925</v>
      </c>
      <c r="G445" s="20">
        <v>45460</v>
      </c>
      <c r="H445" s="19" t="s">
        <v>19</v>
      </c>
      <c r="I445" s="19" t="s">
        <v>37</v>
      </c>
      <c r="J445" s="19" t="s">
        <v>11</v>
      </c>
      <c r="K445" s="19">
        <v>4</v>
      </c>
      <c r="L445" s="37">
        <v>1337.94</v>
      </c>
      <c r="M445" s="19" t="s">
        <v>22</v>
      </c>
      <c r="N445" s="19">
        <v>36</v>
      </c>
      <c r="O445" s="20">
        <v>45732</v>
      </c>
      <c r="P445" s="19">
        <v>420</v>
      </c>
      <c r="Q445" s="19" t="s">
        <v>23</v>
      </c>
      <c r="S445" s="20">
        <v>45823</v>
      </c>
      <c r="T445" s="19" t="s">
        <v>24</v>
      </c>
      <c r="U445" s="39">
        <f>Table1[[#This Row],[QUANTITY]]*Table1[[#This Row],[PRICE]]</f>
        <v>5351.76</v>
      </c>
    </row>
    <row r="446" spans="1:21">
      <c r="A446" s="19" t="s">
        <v>926</v>
      </c>
      <c r="B446" s="19" t="s">
        <v>46</v>
      </c>
      <c r="C446" s="19" t="s">
        <v>27</v>
      </c>
      <c r="D446" s="19" t="s">
        <v>31</v>
      </c>
      <c r="E446" s="20">
        <v>45391</v>
      </c>
      <c r="F446" s="19" t="s">
        <v>927</v>
      </c>
      <c r="G446" s="20">
        <v>45460</v>
      </c>
      <c r="H446" s="19" t="s">
        <v>19</v>
      </c>
      <c r="I446" s="19" t="s">
        <v>37</v>
      </c>
      <c r="J446" s="19" t="s">
        <v>48</v>
      </c>
      <c r="K446" s="19">
        <v>4</v>
      </c>
      <c r="L446" s="37">
        <v>902.12</v>
      </c>
      <c r="M446" s="19" t="s">
        <v>38</v>
      </c>
      <c r="N446" s="19">
        <v>11</v>
      </c>
      <c r="O446" s="20">
        <v>45645</v>
      </c>
      <c r="P446" s="19">
        <v>496</v>
      </c>
      <c r="Q446" s="19" t="s">
        <v>13</v>
      </c>
      <c r="S446" s="20">
        <v>45849</v>
      </c>
      <c r="T446" s="19" t="s">
        <v>24</v>
      </c>
      <c r="U446" s="39">
        <f>Table1[[#This Row],[QUANTITY]]*Table1[[#This Row],[PRICE]]</f>
        <v>3608.48</v>
      </c>
    </row>
    <row r="447" spans="1:21">
      <c r="A447" s="19" t="s">
        <v>928</v>
      </c>
      <c r="B447" s="19" t="s">
        <v>26</v>
      </c>
      <c r="C447" s="19" t="s">
        <v>6</v>
      </c>
      <c r="D447" s="19" t="s">
        <v>31</v>
      </c>
      <c r="E447" s="20">
        <v>45529</v>
      </c>
      <c r="F447" s="19" t="s">
        <v>929</v>
      </c>
      <c r="G447" s="20">
        <v>45461</v>
      </c>
      <c r="H447" s="19" t="s">
        <v>19</v>
      </c>
      <c r="I447" s="19" t="s">
        <v>20</v>
      </c>
      <c r="J447" s="19" t="s">
        <v>33</v>
      </c>
      <c r="K447" s="19">
        <v>4</v>
      </c>
      <c r="L447" s="37">
        <v>666.42</v>
      </c>
      <c r="M447" s="19" t="s">
        <v>38</v>
      </c>
      <c r="N447" s="19">
        <v>24</v>
      </c>
      <c r="O447" s="20">
        <v>45826</v>
      </c>
      <c r="P447" s="19">
        <v>32</v>
      </c>
      <c r="Q447" s="19" t="s">
        <v>23</v>
      </c>
      <c r="R447" s="19">
        <v>2</v>
      </c>
      <c r="S447" s="20">
        <v>45834</v>
      </c>
      <c r="T447" s="19" t="s">
        <v>14</v>
      </c>
      <c r="U447" s="39">
        <f>Table1[[#This Row],[QUANTITY]]*Table1[[#This Row],[PRICE]]</f>
        <v>2665.68</v>
      </c>
    </row>
    <row r="448" spans="1:21">
      <c r="A448" s="19" t="s">
        <v>930</v>
      </c>
      <c r="B448" s="19" t="s">
        <v>46</v>
      </c>
      <c r="C448" s="19" t="s">
        <v>16</v>
      </c>
      <c r="D448" s="19" t="s">
        <v>31</v>
      </c>
      <c r="E448" s="20">
        <v>45228</v>
      </c>
      <c r="F448" s="19" t="s">
        <v>931</v>
      </c>
      <c r="G448" s="20">
        <v>45461</v>
      </c>
      <c r="H448" s="19" t="s">
        <v>29</v>
      </c>
      <c r="I448" s="19" t="s">
        <v>10</v>
      </c>
      <c r="J448" s="19" t="s">
        <v>48</v>
      </c>
      <c r="K448" s="19">
        <v>5</v>
      </c>
      <c r="L448" s="37">
        <v>944.43</v>
      </c>
      <c r="M448" s="19" t="s">
        <v>12</v>
      </c>
      <c r="N448" s="19">
        <v>45</v>
      </c>
      <c r="O448" s="20">
        <v>45630</v>
      </c>
      <c r="P448" s="19">
        <v>366</v>
      </c>
      <c r="Q448" s="19" t="s">
        <v>13</v>
      </c>
      <c r="R448" s="19">
        <v>5</v>
      </c>
      <c r="S448" s="20">
        <v>45596</v>
      </c>
      <c r="T448" s="19" t="s">
        <v>14</v>
      </c>
      <c r="U448" s="39">
        <f>Table1[[#This Row],[QUANTITY]]*Table1[[#This Row],[PRICE]]</f>
        <v>4722.1499999999996</v>
      </c>
    </row>
    <row r="449" spans="1:21">
      <c r="A449" s="19" t="s">
        <v>932</v>
      </c>
      <c r="B449" s="19" t="s">
        <v>26</v>
      </c>
      <c r="C449" s="19" t="s">
        <v>27</v>
      </c>
      <c r="D449" s="19" t="s">
        <v>17</v>
      </c>
      <c r="E449" s="20">
        <v>45754</v>
      </c>
      <c r="F449" s="19" t="s">
        <v>933</v>
      </c>
      <c r="G449" s="20">
        <v>45461</v>
      </c>
      <c r="H449" s="19" t="s">
        <v>62</v>
      </c>
      <c r="I449" s="19" t="s">
        <v>37</v>
      </c>
      <c r="J449" s="19" t="s">
        <v>48</v>
      </c>
      <c r="K449" s="19">
        <v>5</v>
      </c>
      <c r="L449" s="37">
        <v>1363.19</v>
      </c>
      <c r="M449" s="19" t="s">
        <v>22</v>
      </c>
      <c r="N449" s="19">
        <v>34</v>
      </c>
      <c r="O449" s="20">
        <v>45526</v>
      </c>
      <c r="P449" s="19">
        <v>488</v>
      </c>
      <c r="Q449" s="19" t="s">
        <v>23</v>
      </c>
      <c r="R449" s="19">
        <v>5</v>
      </c>
      <c r="S449" s="20">
        <v>45598</v>
      </c>
      <c r="T449" s="19" t="s">
        <v>14</v>
      </c>
      <c r="U449" s="39">
        <f>Table1[[#This Row],[QUANTITY]]*Table1[[#This Row],[PRICE]]</f>
        <v>6815.9500000000007</v>
      </c>
    </row>
    <row r="450" spans="1:21">
      <c r="A450" s="19" t="s">
        <v>934</v>
      </c>
      <c r="B450" s="19" t="s">
        <v>26</v>
      </c>
      <c r="C450" s="19" t="s">
        <v>16</v>
      </c>
      <c r="D450" s="19" t="s">
        <v>7</v>
      </c>
      <c r="E450" s="20">
        <v>45786</v>
      </c>
      <c r="F450" s="19" t="s">
        <v>935</v>
      </c>
      <c r="G450" s="20">
        <v>45461</v>
      </c>
      <c r="H450" s="19" t="s">
        <v>44</v>
      </c>
      <c r="I450" s="19" t="s">
        <v>10</v>
      </c>
      <c r="J450" s="19" t="s">
        <v>21</v>
      </c>
      <c r="K450" s="19">
        <v>2</v>
      </c>
      <c r="L450" s="37">
        <v>1171.1400000000001</v>
      </c>
      <c r="M450" s="19" t="s">
        <v>38</v>
      </c>
      <c r="N450" s="19">
        <v>34</v>
      </c>
      <c r="O450" s="20">
        <v>45590</v>
      </c>
      <c r="P450" s="19">
        <v>479</v>
      </c>
      <c r="Q450" s="19" t="s">
        <v>23</v>
      </c>
      <c r="S450" s="20">
        <v>45733</v>
      </c>
      <c r="T450" s="19" t="s">
        <v>24</v>
      </c>
      <c r="U450" s="39">
        <f>Table1[[#This Row],[QUANTITY]]*Table1[[#This Row],[PRICE]]</f>
        <v>2342.2800000000002</v>
      </c>
    </row>
    <row r="451" spans="1:21">
      <c r="A451" s="19" t="s">
        <v>936</v>
      </c>
      <c r="B451" s="19" t="s">
        <v>26</v>
      </c>
      <c r="C451" s="19" t="s">
        <v>6</v>
      </c>
      <c r="D451" s="19" t="s">
        <v>7</v>
      </c>
      <c r="E451" s="20">
        <v>45531</v>
      </c>
      <c r="F451" s="19" t="s">
        <v>937</v>
      </c>
      <c r="G451" s="20">
        <v>45461</v>
      </c>
      <c r="H451" s="19" t="s">
        <v>44</v>
      </c>
      <c r="I451" s="19" t="s">
        <v>20</v>
      </c>
      <c r="J451" s="19" t="s">
        <v>41</v>
      </c>
      <c r="K451" s="19">
        <v>2</v>
      </c>
      <c r="L451" s="37">
        <v>1015.87</v>
      </c>
      <c r="M451" s="19" t="s">
        <v>38</v>
      </c>
      <c r="N451" s="19">
        <v>27</v>
      </c>
      <c r="O451" s="20">
        <v>45874</v>
      </c>
      <c r="P451" s="19">
        <v>203</v>
      </c>
      <c r="Q451" s="19" t="s">
        <v>13</v>
      </c>
      <c r="R451" s="19">
        <v>3</v>
      </c>
      <c r="S451" s="20">
        <v>45772</v>
      </c>
      <c r="T451" s="19" t="s">
        <v>34</v>
      </c>
      <c r="U451" s="39">
        <f>Table1[[#This Row],[QUANTITY]]*Table1[[#This Row],[PRICE]]</f>
        <v>2031.74</v>
      </c>
    </row>
    <row r="452" spans="1:21">
      <c r="A452" s="19" t="s">
        <v>938</v>
      </c>
      <c r="B452" s="19" t="s">
        <v>46</v>
      </c>
      <c r="C452" s="19" t="s">
        <v>27</v>
      </c>
      <c r="D452" s="19" t="s">
        <v>70</v>
      </c>
      <c r="E452" s="20">
        <v>45761</v>
      </c>
      <c r="F452" s="19" t="s">
        <v>939</v>
      </c>
      <c r="G452" s="20">
        <v>45461</v>
      </c>
      <c r="H452" s="19" t="s">
        <v>62</v>
      </c>
      <c r="I452" s="19" t="s">
        <v>20</v>
      </c>
      <c r="J452" s="19" t="s">
        <v>21</v>
      </c>
      <c r="K452" s="19">
        <v>2</v>
      </c>
      <c r="L452" s="37">
        <v>1076.49</v>
      </c>
      <c r="M452" s="19" t="s">
        <v>22</v>
      </c>
      <c r="N452" s="19">
        <v>18</v>
      </c>
      <c r="O452" s="20">
        <v>45785</v>
      </c>
      <c r="P452" s="19">
        <v>401</v>
      </c>
      <c r="Q452" s="19" t="s">
        <v>13</v>
      </c>
      <c r="R452" s="19">
        <v>3</v>
      </c>
      <c r="S452" s="20">
        <v>45525</v>
      </c>
      <c r="T452" s="19" t="s">
        <v>34</v>
      </c>
      <c r="U452" s="39">
        <f>Table1[[#This Row],[QUANTITY]]*Table1[[#This Row],[PRICE]]</f>
        <v>2152.98</v>
      </c>
    </row>
    <row r="453" spans="1:21">
      <c r="A453" s="19" t="s">
        <v>940</v>
      </c>
      <c r="B453" s="19" t="s">
        <v>26</v>
      </c>
      <c r="C453" s="19" t="s">
        <v>16</v>
      </c>
      <c r="D453" s="19" t="s">
        <v>70</v>
      </c>
      <c r="E453" s="20">
        <v>45302</v>
      </c>
      <c r="F453" s="19" t="s">
        <v>941</v>
      </c>
      <c r="G453" s="20">
        <v>45461</v>
      </c>
      <c r="H453" s="19" t="s">
        <v>9</v>
      </c>
      <c r="I453" s="19" t="s">
        <v>51</v>
      </c>
      <c r="J453" s="19" t="s">
        <v>33</v>
      </c>
      <c r="K453" s="19">
        <v>5</v>
      </c>
      <c r="L453" s="37">
        <v>1371.51</v>
      </c>
      <c r="M453" s="19" t="s">
        <v>22</v>
      </c>
      <c r="N453" s="19">
        <v>18</v>
      </c>
      <c r="O453" s="20">
        <v>45651</v>
      </c>
      <c r="P453" s="19">
        <v>129</v>
      </c>
      <c r="Q453" s="19" t="s">
        <v>13</v>
      </c>
      <c r="R453" s="19">
        <v>3</v>
      </c>
      <c r="S453" s="20">
        <v>45766</v>
      </c>
      <c r="T453" s="19" t="s">
        <v>34</v>
      </c>
      <c r="U453" s="39">
        <f>Table1[[#This Row],[QUANTITY]]*Table1[[#This Row],[PRICE]]</f>
        <v>6857.55</v>
      </c>
    </row>
    <row r="454" spans="1:21">
      <c r="A454" s="19" t="s">
        <v>942</v>
      </c>
      <c r="B454" s="19" t="s">
        <v>26</v>
      </c>
      <c r="C454" s="19" t="s">
        <v>6</v>
      </c>
      <c r="D454" s="19" t="s">
        <v>70</v>
      </c>
      <c r="E454" s="20">
        <v>45354</v>
      </c>
      <c r="F454" s="19" t="s">
        <v>943</v>
      </c>
      <c r="G454" s="20">
        <v>45462</v>
      </c>
      <c r="H454" s="19" t="s">
        <v>44</v>
      </c>
      <c r="I454" s="19" t="s">
        <v>37</v>
      </c>
      <c r="J454" s="19" t="s">
        <v>11</v>
      </c>
      <c r="K454" s="19">
        <v>5</v>
      </c>
      <c r="L454" s="37">
        <v>388.88</v>
      </c>
      <c r="M454" s="19" t="s">
        <v>12</v>
      </c>
      <c r="N454" s="19">
        <v>35</v>
      </c>
      <c r="O454" s="20">
        <v>45688</v>
      </c>
      <c r="P454" s="19">
        <v>165</v>
      </c>
      <c r="Q454" s="19" t="s">
        <v>23</v>
      </c>
      <c r="R454" s="19">
        <v>1</v>
      </c>
      <c r="S454" s="20">
        <v>45638</v>
      </c>
      <c r="T454" s="19" t="s">
        <v>34</v>
      </c>
      <c r="U454" s="39">
        <f>Table1[[#This Row],[QUANTITY]]*Table1[[#This Row],[PRICE]]</f>
        <v>1944.4</v>
      </c>
    </row>
    <row r="455" spans="1:21">
      <c r="A455" s="19" t="s">
        <v>944</v>
      </c>
      <c r="B455" s="19" t="s">
        <v>26</v>
      </c>
      <c r="C455" s="19" t="s">
        <v>6</v>
      </c>
      <c r="D455" s="19" t="s">
        <v>31</v>
      </c>
      <c r="E455" s="20">
        <v>45658</v>
      </c>
      <c r="F455" s="19" t="s">
        <v>945</v>
      </c>
      <c r="G455" s="20">
        <v>45462</v>
      </c>
      <c r="H455" s="19" t="s">
        <v>9</v>
      </c>
      <c r="I455" s="19" t="s">
        <v>37</v>
      </c>
      <c r="J455" s="19" t="s">
        <v>48</v>
      </c>
      <c r="K455" s="19">
        <v>3</v>
      </c>
      <c r="L455" s="37">
        <v>183.44</v>
      </c>
      <c r="M455" s="19" t="s">
        <v>22</v>
      </c>
      <c r="N455" s="19">
        <v>7</v>
      </c>
      <c r="O455" s="20">
        <v>45571</v>
      </c>
      <c r="P455" s="19">
        <v>448</v>
      </c>
      <c r="Q455" s="19" t="s">
        <v>13</v>
      </c>
      <c r="S455" s="20">
        <v>45743</v>
      </c>
      <c r="T455" s="19" t="s">
        <v>24</v>
      </c>
      <c r="U455" s="39">
        <f>Table1[[#This Row],[QUANTITY]]*Table1[[#This Row],[PRICE]]</f>
        <v>550.31999999999994</v>
      </c>
    </row>
    <row r="456" spans="1:21">
      <c r="A456" s="19" t="s">
        <v>946</v>
      </c>
      <c r="B456" s="19" t="s">
        <v>46</v>
      </c>
      <c r="C456" s="19" t="s">
        <v>16</v>
      </c>
      <c r="D456" s="19" t="s">
        <v>31</v>
      </c>
      <c r="E456" s="20">
        <v>45270</v>
      </c>
      <c r="F456" s="19" t="s">
        <v>947</v>
      </c>
      <c r="G456" s="20">
        <v>45462</v>
      </c>
      <c r="H456" s="19" t="s">
        <v>44</v>
      </c>
      <c r="I456" s="19" t="s">
        <v>37</v>
      </c>
      <c r="J456" s="19" t="s">
        <v>33</v>
      </c>
      <c r="K456" s="19">
        <v>1</v>
      </c>
      <c r="L456" s="37">
        <v>721</v>
      </c>
      <c r="M456" s="19" t="s">
        <v>22</v>
      </c>
      <c r="N456" s="19">
        <v>1</v>
      </c>
      <c r="O456" s="20">
        <v>45721</v>
      </c>
      <c r="P456" s="19">
        <v>163</v>
      </c>
      <c r="Q456" s="19" t="s">
        <v>13</v>
      </c>
      <c r="R456" s="19">
        <v>2</v>
      </c>
      <c r="S456" s="20">
        <v>45827</v>
      </c>
      <c r="T456" s="19" t="s">
        <v>34</v>
      </c>
      <c r="U456" s="39">
        <f>Table1[[#This Row],[QUANTITY]]*Table1[[#This Row],[PRICE]]</f>
        <v>721</v>
      </c>
    </row>
    <row r="457" spans="1:21">
      <c r="A457" s="19" t="s">
        <v>948</v>
      </c>
      <c r="B457" s="19" t="s">
        <v>5</v>
      </c>
      <c r="C457" s="19" t="s">
        <v>27</v>
      </c>
      <c r="D457" s="19" t="s">
        <v>7</v>
      </c>
      <c r="E457" s="20">
        <v>45467</v>
      </c>
      <c r="F457" s="19" t="s">
        <v>949</v>
      </c>
      <c r="G457" s="20">
        <v>45462</v>
      </c>
      <c r="H457" s="19" t="s">
        <v>29</v>
      </c>
      <c r="I457" s="19" t="s">
        <v>51</v>
      </c>
      <c r="J457" s="19" t="s">
        <v>21</v>
      </c>
      <c r="K457" s="19">
        <v>5</v>
      </c>
      <c r="L457" s="37">
        <v>256.02999999999997</v>
      </c>
      <c r="M457" s="19" t="s">
        <v>22</v>
      </c>
      <c r="N457" s="19">
        <v>43</v>
      </c>
      <c r="O457" s="20">
        <v>45623</v>
      </c>
      <c r="P457" s="19">
        <v>386</v>
      </c>
      <c r="Q457" s="19" t="s">
        <v>13</v>
      </c>
      <c r="R457" s="19">
        <v>5</v>
      </c>
      <c r="S457" s="20">
        <v>45792</v>
      </c>
      <c r="T457" s="19" t="s">
        <v>34</v>
      </c>
      <c r="U457" s="39">
        <f>Table1[[#This Row],[QUANTITY]]*Table1[[#This Row],[PRICE]]</f>
        <v>1280.1499999999999</v>
      </c>
    </row>
    <row r="458" spans="1:21">
      <c r="A458" s="19" t="s">
        <v>950</v>
      </c>
      <c r="B458" s="19" t="s">
        <v>46</v>
      </c>
      <c r="C458" s="19" t="s">
        <v>6</v>
      </c>
      <c r="D458" s="19" t="s">
        <v>7</v>
      </c>
      <c r="E458" s="20">
        <v>45728</v>
      </c>
      <c r="F458" s="19" t="s">
        <v>951</v>
      </c>
      <c r="G458" s="20">
        <v>45462</v>
      </c>
      <c r="H458" s="19" t="s">
        <v>19</v>
      </c>
      <c r="I458" s="19" t="s">
        <v>10</v>
      </c>
      <c r="J458" s="19" t="s">
        <v>41</v>
      </c>
      <c r="K458" s="19">
        <v>3</v>
      </c>
      <c r="L458" s="37">
        <v>1001.26</v>
      </c>
      <c r="M458" s="19" t="s">
        <v>22</v>
      </c>
      <c r="N458" s="19">
        <v>16</v>
      </c>
      <c r="O458" s="20">
        <v>45648</v>
      </c>
      <c r="P458" s="19">
        <v>83</v>
      </c>
      <c r="Q458" s="19" t="s">
        <v>13</v>
      </c>
      <c r="R458" s="19">
        <v>5</v>
      </c>
      <c r="S458" s="20">
        <v>45592</v>
      </c>
      <c r="T458" s="19" t="s">
        <v>34</v>
      </c>
      <c r="U458" s="39">
        <f>Table1[[#This Row],[QUANTITY]]*Table1[[#This Row],[PRICE]]</f>
        <v>3003.7799999999997</v>
      </c>
    </row>
    <row r="459" spans="1:21">
      <c r="A459" s="19" t="s">
        <v>952</v>
      </c>
      <c r="B459" s="19" t="s">
        <v>46</v>
      </c>
      <c r="C459" s="19" t="s">
        <v>27</v>
      </c>
      <c r="D459" s="19" t="s">
        <v>31</v>
      </c>
      <c r="E459" s="20">
        <v>45582</v>
      </c>
      <c r="F459" s="19" t="s">
        <v>953</v>
      </c>
      <c r="G459" s="20">
        <v>45462</v>
      </c>
      <c r="H459" s="19" t="s">
        <v>9</v>
      </c>
      <c r="I459" s="19" t="s">
        <v>10</v>
      </c>
      <c r="J459" s="19" t="s">
        <v>11</v>
      </c>
      <c r="K459" s="19">
        <v>1</v>
      </c>
      <c r="L459" s="37">
        <v>1022.84</v>
      </c>
      <c r="M459" s="19" t="s">
        <v>12</v>
      </c>
      <c r="N459" s="19">
        <v>30</v>
      </c>
      <c r="O459" s="20">
        <v>45613</v>
      </c>
      <c r="P459" s="19">
        <v>460</v>
      </c>
      <c r="Q459" s="19" t="s">
        <v>13</v>
      </c>
      <c r="S459" s="20">
        <v>45594</v>
      </c>
      <c r="T459" s="19" t="s">
        <v>24</v>
      </c>
      <c r="U459" s="39">
        <f>Table1[[#This Row],[QUANTITY]]*Table1[[#This Row],[PRICE]]</f>
        <v>1022.84</v>
      </c>
    </row>
    <row r="460" spans="1:21">
      <c r="A460" s="19" t="s">
        <v>954</v>
      </c>
      <c r="B460" s="19" t="s">
        <v>5</v>
      </c>
      <c r="C460" s="19" t="s">
        <v>6</v>
      </c>
      <c r="D460" s="19" t="s">
        <v>70</v>
      </c>
      <c r="E460" s="20">
        <v>45490</v>
      </c>
      <c r="F460" s="19" t="s">
        <v>955</v>
      </c>
      <c r="G460" s="20">
        <v>45462</v>
      </c>
      <c r="H460" s="19" t="s">
        <v>44</v>
      </c>
      <c r="I460" s="19" t="s">
        <v>37</v>
      </c>
      <c r="J460" s="19" t="s">
        <v>41</v>
      </c>
      <c r="K460" s="19">
        <v>5</v>
      </c>
      <c r="L460" s="37">
        <v>350.56</v>
      </c>
      <c r="M460" s="19" t="s">
        <v>12</v>
      </c>
      <c r="N460" s="19">
        <v>15</v>
      </c>
      <c r="O460" s="20">
        <v>45722</v>
      </c>
      <c r="P460" s="19">
        <v>497</v>
      </c>
      <c r="Q460" s="19" t="s">
        <v>23</v>
      </c>
      <c r="R460" s="19">
        <v>2</v>
      </c>
      <c r="S460" s="20">
        <v>45708</v>
      </c>
      <c r="T460" s="19" t="s">
        <v>34</v>
      </c>
      <c r="U460" s="39">
        <f>Table1[[#This Row],[QUANTITY]]*Table1[[#This Row],[PRICE]]</f>
        <v>1752.8</v>
      </c>
    </row>
    <row r="461" spans="1:21">
      <c r="A461" s="19" t="s">
        <v>956</v>
      </c>
      <c r="B461" s="19" t="s">
        <v>26</v>
      </c>
      <c r="C461" s="19" t="s">
        <v>6</v>
      </c>
      <c r="D461" s="19" t="s">
        <v>17</v>
      </c>
      <c r="E461" s="20">
        <v>45547</v>
      </c>
      <c r="F461" s="19" t="s">
        <v>957</v>
      </c>
      <c r="G461" s="20">
        <v>45462</v>
      </c>
      <c r="H461" s="19" t="s">
        <v>19</v>
      </c>
      <c r="I461" s="19" t="s">
        <v>51</v>
      </c>
      <c r="J461" s="19" t="s">
        <v>11</v>
      </c>
      <c r="K461" s="19">
        <v>3</v>
      </c>
      <c r="L461" s="37">
        <v>329.48</v>
      </c>
      <c r="M461" s="19" t="s">
        <v>38</v>
      </c>
      <c r="N461" s="19">
        <v>10</v>
      </c>
      <c r="O461" s="20">
        <v>45667</v>
      </c>
      <c r="P461" s="19">
        <v>71</v>
      </c>
      <c r="Q461" s="19" t="s">
        <v>23</v>
      </c>
      <c r="S461" s="20">
        <v>45646</v>
      </c>
      <c r="T461" s="19" t="s">
        <v>24</v>
      </c>
      <c r="U461" s="39">
        <f>Table1[[#This Row],[QUANTITY]]*Table1[[#This Row],[PRICE]]</f>
        <v>988.44</v>
      </c>
    </row>
    <row r="462" spans="1:21">
      <c r="A462" s="19" t="s">
        <v>958</v>
      </c>
      <c r="B462" s="19" t="s">
        <v>26</v>
      </c>
      <c r="C462" s="19" t="s">
        <v>6</v>
      </c>
      <c r="D462" s="19" t="s">
        <v>7</v>
      </c>
      <c r="E462" s="20">
        <v>45615</v>
      </c>
      <c r="F462" s="19" t="s">
        <v>959</v>
      </c>
      <c r="G462" s="20">
        <v>45462</v>
      </c>
      <c r="H462" s="19" t="s">
        <v>62</v>
      </c>
      <c r="I462" s="19" t="s">
        <v>51</v>
      </c>
      <c r="J462" s="19" t="s">
        <v>33</v>
      </c>
      <c r="K462" s="19">
        <v>1</v>
      </c>
      <c r="L462" s="37">
        <v>709.62</v>
      </c>
      <c r="M462" s="19" t="s">
        <v>38</v>
      </c>
      <c r="N462" s="19">
        <v>26</v>
      </c>
      <c r="O462" s="20">
        <v>45591</v>
      </c>
      <c r="P462" s="19">
        <v>341</v>
      </c>
      <c r="Q462" s="19" t="s">
        <v>13</v>
      </c>
      <c r="R462" s="19">
        <v>5</v>
      </c>
      <c r="S462" s="20">
        <v>45839</v>
      </c>
      <c r="T462" s="19" t="s">
        <v>14</v>
      </c>
      <c r="U462" s="39">
        <f>Table1[[#This Row],[QUANTITY]]*Table1[[#This Row],[PRICE]]</f>
        <v>709.62</v>
      </c>
    </row>
    <row r="463" spans="1:21">
      <c r="A463" s="19" t="s">
        <v>960</v>
      </c>
      <c r="B463" s="19" t="s">
        <v>26</v>
      </c>
      <c r="C463" s="19" t="s">
        <v>16</v>
      </c>
      <c r="D463" s="19" t="s">
        <v>31</v>
      </c>
      <c r="E463" s="20">
        <v>45510</v>
      </c>
      <c r="F463" s="19" t="s">
        <v>961</v>
      </c>
      <c r="G463" s="20">
        <v>45462</v>
      </c>
      <c r="H463" s="19" t="s">
        <v>62</v>
      </c>
      <c r="I463" s="19" t="s">
        <v>51</v>
      </c>
      <c r="J463" s="19" t="s">
        <v>33</v>
      </c>
      <c r="K463" s="19">
        <v>2</v>
      </c>
      <c r="L463" s="37">
        <v>1002.9</v>
      </c>
      <c r="M463" s="19" t="s">
        <v>38</v>
      </c>
      <c r="N463" s="19">
        <v>7</v>
      </c>
      <c r="O463" s="20">
        <v>45714</v>
      </c>
      <c r="P463" s="19">
        <v>57</v>
      </c>
      <c r="Q463" s="19" t="s">
        <v>23</v>
      </c>
      <c r="S463" s="20">
        <v>45532</v>
      </c>
      <c r="T463" s="19" t="s">
        <v>24</v>
      </c>
      <c r="U463" s="39">
        <f>Table1[[#This Row],[QUANTITY]]*Table1[[#This Row],[PRICE]]</f>
        <v>2005.8</v>
      </c>
    </row>
    <row r="464" spans="1:21">
      <c r="A464" s="19" t="s">
        <v>962</v>
      </c>
      <c r="B464" s="19" t="s">
        <v>26</v>
      </c>
      <c r="C464" s="19" t="s">
        <v>6</v>
      </c>
      <c r="D464" s="19" t="s">
        <v>53</v>
      </c>
      <c r="E464" s="20">
        <v>45187</v>
      </c>
      <c r="F464" s="19" t="s">
        <v>963</v>
      </c>
      <c r="G464" s="20">
        <v>45463</v>
      </c>
      <c r="H464" s="19" t="s">
        <v>19</v>
      </c>
      <c r="I464" s="19" t="s">
        <v>10</v>
      </c>
      <c r="J464" s="19" t="s">
        <v>21</v>
      </c>
      <c r="K464" s="19">
        <v>1</v>
      </c>
      <c r="L464" s="37">
        <v>1247.78</v>
      </c>
      <c r="M464" s="19" t="s">
        <v>22</v>
      </c>
      <c r="N464" s="19">
        <v>34</v>
      </c>
      <c r="O464" s="20">
        <v>45754</v>
      </c>
      <c r="P464" s="19">
        <v>392</v>
      </c>
      <c r="Q464" s="19" t="s">
        <v>13</v>
      </c>
      <c r="S464" s="20">
        <v>45720</v>
      </c>
      <c r="T464" s="19" t="s">
        <v>24</v>
      </c>
      <c r="U464" s="39">
        <f>Table1[[#This Row],[QUANTITY]]*Table1[[#This Row],[PRICE]]</f>
        <v>1247.78</v>
      </c>
    </row>
    <row r="465" spans="1:21">
      <c r="A465" s="19" t="s">
        <v>964</v>
      </c>
      <c r="B465" s="19" t="s">
        <v>46</v>
      </c>
      <c r="C465" s="19" t="s">
        <v>16</v>
      </c>
      <c r="D465" s="19" t="s">
        <v>53</v>
      </c>
      <c r="E465" s="20">
        <v>45592</v>
      </c>
      <c r="F465" s="19" t="s">
        <v>965</v>
      </c>
      <c r="G465" s="20">
        <v>45463</v>
      </c>
      <c r="H465" s="19" t="s">
        <v>19</v>
      </c>
      <c r="I465" s="19" t="s">
        <v>10</v>
      </c>
      <c r="J465" s="19" t="s">
        <v>33</v>
      </c>
      <c r="K465" s="19">
        <v>2</v>
      </c>
      <c r="L465" s="37">
        <v>791.18</v>
      </c>
      <c r="M465" s="19" t="s">
        <v>22</v>
      </c>
      <c r="N465" s="19">
        <v>10</v>
      </c>
      <c r="O465" s="20">
        <v>45667</v>
      </c>
      <c r="P465" s="19">
        <v>229</v>
      </c>
      <c r="Q465" s="19" t="s">
        <v>13</v>
      </c>
      <c r="R465" s="19">
        <v>5</v>
      </c>
      <c r="S465" s="20">
        <v>45640</v>
      </c>
      <c r="T465" s="19" t="s">
        <v>14</v>
      </c>
      <c r="U465" s="39">
        <f>Table1[[#This Row],[QUANTITY]]*Table1[[#This Row],[PRICE]]</f>
        <v>1582.36</v>
      </c>
    </row>
    <row r="466" spans="1:21">
      <c r="A466" s="19" t="s">
        <v>966</v>
      </c>
      <c r="B466" s="19" t="s">
        <v>46</v>
      </c>
      <c r="C466" s="19" t="s">
        <v>16</v>
      </c>
      <c r="D466" s="19" t="s">
        <v>31</v>
      </c>
      <c r="E466" s="20">
        <v>45327</v>
      </c>
      <c r="F466" s="19" t="s">
        <v>967</v>
      </c>
      <c r="G466" s="20">
        <v>45463</v>
      </c>
      <c r="H466" s="19" t="s">
        <v>44</v>
      </c>
      <c r="I466" s="19" t="s">
        <v>20</v>
      </c>
      <c r="J466" s="19" t="s">
        <v>41</v>
      </c>
      <c r="K466" s="19">
        <v>4</v>
      </c>
      <c r="L466" s="37">
        <v>763.48</v>
      </c>
      <c r="M466" s="19" t="s">
        <v>12</v>
      </c>
      <c r="N466" s="19">
        <v>9</v>
      </c>
      <c r="O466" s="20">
        <v>45678</v>
      </c>
      <c r="P466" s="19">
        <v>473</v>
      </c>
      <c r="Q466" s="19" t="s">
        <v>23</v>
      </c>
      <c r="S466" s="20">
        <v>45538</v>
      </c>
      <c r="T466" s="19" t="s">
        <v>24</v>
      </c>
      <c r="U466" s="39">
        <f>Table1[[#This Row],[QUANTITY]]*Table1[[#This Row],[PRICE]]</f>
        <v>3053.92</v>
      </c>
    </row>
    <row r="467" spans="1:21">
      <c r="A467" s="19" t="s">
        <v>968</v>
      </c>
      <c r="B467" s="19" t="s">
        <v>46</v>
      </c>
      <c r="C467" s="19" t="s">
        <v>6</v>
      </c>
      <c r="D467" s="19" t="s">
        <v>53</v>
      </c>
      <c r="E467" s="20">
        <v>45656</v>
      </c>
      <c r="F467" s="19" t="s">
        <v>969</v>
      </c>
      <c r="G467" s="20">
        <v>45463</v>
      </c>
      <c r="H467" s="19" t="s">
        <v>19</v>
      </c>
      <c r="I467" s="19" t="s">
        <v>51</v>
      </c>
      <c r="J467" s="19" t="s">
        <v>11</v>
      </c>
      <c r="K467" s="19">
        <v>5</v>
      </c>
      <c r="L467" s="37">
        <v>1430.31</v>
      </c>
      <c r="M467" s="19" t="s">
        <v>38</v>
      </c>
      <c r="N467" s="19">
        <v>37</v>
      </c>
      <c r="O467" s="20">
        <v>45810</v>
      </c>
      <c r="P467" s="19">
        <v>234</v>
      </c>
      <c r="Q467" s="19" t="s">
        <v>23</v>
      </c>
      <c r="R467" s="19">
        <v>4</v>
      </c>
      <c r="S467" s="20">
        <v>45559</v>
      </c>
      <c r="T467" s="19" t="s">
        <v>34</v>
      </c>
      <c r="U467" s="39">
        <f>Table1[[#This Row],[QUANTITY]]*Table1[[#This Row],[PRICE]]</f>
        <v>7151.5499999999993</v>
      </c>
    </row>
    <row r="468" spans="1:21">
      <c r="A468" s="19" t="s">
        <v>970</v>
      </c>
      <c r="B468" s="19" t="s">
        <v>26</v>
      </c>
      <c r="C468" s="19" t="s">
        <v>16</v>
      </c>
      <c r="D468" s="19" t="s">
        <v>70</v>
      </c>
      <c r="E468" s="20">
        <v>45876</v>
      </c>
      <c r="F468" s="19" t="s">
        <v>971</v>
      </c>
      <c r="G468" s="20">
        <v>45463</v>
      </c>
      <c r="H468" s="19" t="s">
        <v>44</v>
      </c>
      <c r="I468" s="19" t="s">
        <v>51</v>
      </c>
      <c r="J468" s="19" t="s">
        <v>41</v>
      </c>
      <c r="K468" s="19">
        <v>4</v>
      </c>
      <c r="L468" s="37">
        <v>595.96</v>
      </c>
      <c r="M468" s="19" t="s">
        <v>38</v>
      </c>
      <c r="N468" s="19">
        <v>39</v>
      </c>
      <c r="O468" s="20">
        <v>45880</v>
      </c>
      <c r="P468" s="19">
        <v>2</v>
      </c>
      <c r="Q468" s="19" t="s">
        <v>13</v>
      </c>
      <c r="R468" s="19">
        <v>2</v>
      </c>
      <c r="S468" s="20">
        <v>45616</v>
      </c>
      <c r="T468" s="19" t="s">
        <v>14</v>
      </c>
      <c r="U468" s="39">
        <f>Table1[[#This Row],[QUANTITY]]*Table1[[#This Row],[PRICE]]</f>
        <v>2383.84</v>
      </c>
    </row>
    <row r="469" spans="1:21">
      <c r="A469" s="19" t="s">
        <v>972</v>
      </c>
      <c r="B469" s="19" t="s">
        <v>5</v>
      </c>
      <c r="C469" s="19" t="s">
        <v>27</v>
      </c>
      <c r="D469" s="19" t="s">
        <v>53</v>
      </c>
      <c r="E469" s="20">
        <v>45823</v>
      </c>
      <c r="F469" s="19" t="s">
        <v>973</v>
      </c>
      <c r="G469" s="20">
        <v>45463</v>
      </c>
      <c r="H469" s="19" t="s">
        <v>62</v>
      </c>
      <c r="I469" s="19" t="s">
        <v>37</v>
      </c>
      <c r="J469" s="19" t="s">
        <v>33</v>
      </c>
      <c r="K469" s="19">
        <v>1</v>
      </c>
      <c r="L469" s="37">
        <v>1058.6099999999999</v>
      </c>
      <c r="M469" s="19" t="s">
        <v>22</v>
      </c>
      <c r="N469" s="19">
        <v>11</v>
      </c>
      <c r="O469" s="20">
        <v>45698</v>
      </c>
      <c r="P469" s="19">
        <v>389</v>
      </c>
      <c r="Q469" s="19" t="s">
        <v>23</v>
      </c>
      <c r="R469" s="19">
        <v>1</v>
      </c>
      <c r="S469" s="20">
        <v>45657</v>
      </c>
      <c r="T469" s="19" t="s">
        <v>14</v>
      </c>
      <c r="U469" s="39">
        <f>Table1[[#This Row],[QUANTITY]]*Table1[[#This Row],[PRICE]]</f>
        <v>1058.6099999999999</v>
      </c>
    </row>
    <row r="470" spans="1:21">
      <c r="A470" s="19" t="s">
        <v>974</v>
      </c>
      <c r="B470" s="19" t="s">
        <v>46</v>
      </c>
      <c r="C470" s="19" t="s">
        <v>16</v>
      </c>
      <c r="D470" s="19" t="s">
        <v>7</v>
      </c>
      <c r="E470" s="20">
        <v>45719</v>
      </c>
      <c r="F470" s="19" t="s">
        <v>975</v>
      </c>
      <c r="G470" s="20">
        <v>45464</v>
      </c>
      <c r="H470" s="19" t="s">
        <v>44</v>
      </c>
      <c r="I470" s="19" t="s">
        <v>51</v>
      </c>
      <c r="J470" s="19" t="s">
        <v>11</v>
      </c>
      <c r="K470" s="19">
        <v>5</v>
      </c>
      <c r="L470" s="37">
        <v>317.39999999999998</v>
      </c>
      <c r="M470" s="19" t="s">
        <v>38</v>
      </c>
      <c r="N470" s="19">
        <v>47</v>
      </c>
      <c r="O470" s="20">
        <v>45873</v>
      </c>
      <c r="P470" s="19">
        <v>500</v>
      </c>
      <c r="Q470" s="19" t="s">
        <v>23</v>
      </c>
      <c r="R470" s="19">
        <v>4</v>
      </c>
      <c r="S470" s="20">
        <v>45811</v>
      </c>
      <c r="T470" s="19" t="s">
        <v>14</v>
      </c>
      <c r="U470" s="39">
        <f>Table1[[#This Row],[QUANTITY]]*Table1[[#This Row],[PRICE]]</f>
        <v>1587</v>
      </c>
    </row>
    <row r="471" spans="1:21">
      <c r="A471" s="19" t="s">
        <v>976</v>
      </c>
      <c r="B471" s="19" t="s">
        <v>46</v>
      </c>
      <c r="C471" s="19" t="s">
        <v>27</v>
      </c>
      <c r="D471" s="19" t="s">
        <v>70</v>
      </c>
      <c r="E471" s="20">
        <v>45560</v>
      </c>
      <c r="F471" s="19" t="s">
        <v>977</v>
      </c>
      <c r="G471" s="20">
        <v>45464</v>
      </c>
      <c r="H471" s="19" t="s">
        <v>9</v>
      </c>
      <c r="I471" s="19" t="s">
        <v>55</v>
      </c>
      <c r="J471" s="19" t="s">
        <v>48</v>
      </c>
      <c r="K471" s="19">
        <v>2</v>
      </c>
      <c r="L471" s="37">
        <v>843.83</v>
      </c>
      <c r="M471" s="19" t="s">
        <v>38</v>
      </c>
      <c r="N471" s="19">
        <v>6</v>
      </c>
      <c r="O471" s="20">
        <v>45714</v>
      </c>
      <c r="P471" s="19">
        <v>131</v>
      </c>
      <c r="Q471" s="19" t="s">
        <v>23</v>
      </c>
      <c r="R471" s="19">
        <v>4</v>
      </c>
      <c r="S471" s="20">
        <v>45749</v>
      </c>
      <c r="T471" s="19" t="s">
        <v>14</v>
      </c>
      <c r="U471" s="39">
        <f>Table1[[#This Row],[QUANTITY]]*Table1[[#This Row],[PRICE]]</f>
        <v>1687.66</v>
      </c>
    </row>
    <row r="472" spans="1:21">
      <c r="A472" s="19" t="s">
        <v>978</v>
      </c>
      <c r="B472" s="19" t="s">
        <v>46</v>
      </c>
      <c r="C472" s="19" t="s">
        <v>6</v>
      </c>
      <c r="D472" s="19" t="s">
        <v>53</v>
      </c>
      <c r="E472" s="20">
        <v>45460</v>
      </c>
      <c r="F472" s="19" t="s">
        <v>979</v>
      </c>
      <c r="G472" s="20">
        <v>45464</v>
      </c>
      <c r="H472" s="19" t="s">
        <v>9</v>
      </c>
      <c r="I472" s="19" t="s">
        <v>51</v>
      </c>
      <c r="J472" s="19" t="s">
        <v>21</v>
      </c>
      <c r="K472" s="19">
        <v>3</v>
      </c>
      <c r="L472" s="37">
        <v>981.66</v>
      </c>
      <c r="M472" s="19" t="s">
        <v>38</v>
      </c>
      <c r="N472" s="19">
        <v>46</v>
      </c>
      <c r="O472" s="20">
        <v>45607</v>
      </c>
      <c r="P472" s="19">
        <v>173</v>
      </c>
      <c r="Q472" s="19" t="s">
        <v>23</v>
      </c>
      <c r="S472" s="20">
        <v>45562</v>
      </c>
      <c r="T472" s="19" t="s">
        <v>24</v>
      </c>
      <c r="U472" s="39">
        <f>Table1[[#This Row],[QUANTITY]]*Table1[[#This Row],[PRICE]]</f>
        <v>2944.98</v>
      </c>
    </row>
    <row r="473" spans="1:21">
      <c r="A473" s="19" t="s">
        <v>980</v>
      </c>
      <c r="B473" s="19" t="s">
        <v>26</v>
      </c>
      <c r="C473" s="19" t="s">
        <v>16</v>
      </c>
      <c r="D473" s="19" t="s">
        <v>7</v>
      </c>
      <c r="E473" s="20">
        <v>45634</v>
      </c>
      <c r="F473" s="19" t="s">
        <v>981</v>
      </c>
      <c r="G473" s="20">
        <v>45464</v>
      </c>
      <c r="H473" s="19" t="s">
        <v>29</v>
      </c>
      <c r="I473" s="19" t="s">
        <v>20</v>
      </c>
      <c r="J473" s="19" t="s">
        <v>48</v>
      </c>
      <c r="K473" s="19">
        <v>5</v>
      </c>
      <c r="L473" s="37">
        <v>1209.1099999999999</v>
      </c>
      <c r="M473" s="19" t="s">
        <v>22</v>
      </c>
      <c r="N473" s="19">
        <v>13</v>
      </c>
      <c r="O473" s="20">
        <v>45576</v>
      </c>
      <c r="P473" s="19">
        <v>108</v>
      </c>
      <c r="Q473" s="19" t="s">
        <v>13</v>
      </c>
      <c r="S473" s="20">
        <v>45816</v>
      </c>
      <c r="T473" s="19" t="s">
        <v>24</v>
      </c>
      <c r="U473" s="39">
        <f>Table1[[#This Row],[QUANTITY]]*Table1[[#This Row],[PRICE]]</f>
        <v>6045.5499999999993</v>
      </c>
    </row>
    <row r="474" spans="1:21">
      <c r="A474" s="19" t="s">
        <v>982</v>
      </c>
      <c r="B474" s="19" t="s">
        <v>26</v>
      </c>
      <c r="C474" s="19" t="s">
        <v>27</v>
      </c>
      <c r="D474" s="19" t="s">
        <v>31</v>
      </c>
      <c r="E474" s="20">
        <v>45361</v>
      </c>
      <c r="F474" s="19" t="s">
        <v>983</v>
      </c>
      <c r="G474" s="20">
        <v>45464</v>
      </c>
      <c r="H474" s="19" t="s">
        <v>9</v>
      </c>
      <c r="I474" s="19" t="s">
        <v>20</v>
      </c>
      <c r="J474" s="19" t="s">
        <v>41</v>
      </c>
      <c r="K474" s="19">
        <v>5</v>
      </c>
      <c r="L474" s="37">
        <v>655.51</v>
      </c>
      <c r="M474" s="19" t="s">
        <v>38</v>
      </c>
      <c r="N474" s="19">
        <v>42</v>
      </c>
      <c r="O474" s="20">
        <v>45607</v>
      </c>
      <c r="P474" s="19">
        <v>298</v>
      </c>
      <c r="Q474" s="19" t="s">
        <v>23</v>
      </c>
      <c r="R474" s="19">
        <v>1</v>
      </c>
      <c r="S474" s="20">
        <v>45662</v>
      </c>
      <c r="T474" s="19" t="s">
        <v>34</v>
      </c>
      <c r="U474" s="39">
        <f>Table1[[#This Row],[QUANTITY]]*Table1[[#This Row],[PRICE]]</f>
        <v>3277.55</v>
      </c>
    </row>
    <row r="475" spans="1:21">
      <c r="A475" s="19" t="s">
        <v>984</v>
      </c>
      <c r="B475" s="19" t="s">
        <v>26</v>
      </c>
      <c r="C475" s="19" t="s">
        <v>16</v>
      </c>
      <c r="D475" s="19" t="s">
        <v>31</v>
      </c>
      <c r="E475" s="20">
        <v>45683</v>
      </c>
      <c r="F475" s="19" t="s">
        <v>985</v>
      </c>
      <c r="G475" s="20">
        <v>45464</v>
      </c>
      <c r="H475" s="19" t="s">
        <v>29</v>
      </c>
      <c r="I475" s="19" t="s">
        <v>20</v>
      </c>
      <c r="J475" s="19" t="s">
        <v>21</v>
      </c>
      <c r="K475" s="19">
        <v>5</v>
      </c>
      <c r="L475" s="37">
        <v>836.99</v>
      </c>
      <c r="M475" s="19" t="s">
        <v>12</v>
      </c>
      <c r="N475" s="19">
        <v>22</v>
      </c>
      <c r="O475" s="20">
        <v>45692</v>
      </c>
      <c r="P475" s="19">
        <v>58</v>
      </c>
      <c r="Q475" s="19" t="s">
        <v>13</v>
      </c>
      <c r="S475" s="20">
        <v>45589</v>
      </c>
      <c r="T475" s="19" t="s">
        <v>24</v>
      </c>
      <c r="U475" s="39">
        <f>Table1[[#This Row],[QUANTITY]]*Table1[[#This Row],[PRICE]]</f>
        <v>4184.95</v>
      </c>
    </row>
    <row r="476" spans="1:21">
      <c r="A476" s="19" t="s">
        <v>986</v>
      </c>
      <c r="B476" s="19" t="s">
        <v>5</v>
      </c>
      <c r="C476" s="19" t="s">
        <v>6</v>
      </c>
      <c r="D476" s="19" t="s">
        <v>53</v>
      </c>
      <c r="E476" s="20">
        <v>45806</v>
      </c>
      <c r="F476" s="19" t="s">
        <v>987</v>
      </c>
      <c r="G476" s="20">
        <v>45464</v>
      </c>
      <c r="H476" s="19" t="s">
        <v>29</v>
      </c>
      <c r="I476" s="19" t="s">
        <v>10</v>
      </c>
      <c r="J476" s="19" t="s">
        <v>11</v>
      </c>
      <c r="K476" s="19">
        <v>4</v>
      </c>
      <c r="L476" s="37">
        <v>1312.16</v>
      </c>
      <c r="M476" s="19" t="s">
        <v>22</v>
      </c>
      <c r="N476" s="19">
        <v>6</v>
      </c>
      <c r="O476" s="20">
        <v>45793</v>
      </c>
      <c r="P476" s="19">
        <v>361</v>
      </c>
      <c r="Q476" s="19" t="s">
        <v>23</v>
      </c>
      <c r="S476" s="20">
        <v>45867</v>
      </c>
      <c r="T476" s="19" t="s">
        <v>24</v>
      </c>
      <c r="U476" s="39">
        <f>Table1[[#This Row],[QUANTITY]]*Table1[[#This Row],[PRICE]]</f>
        <v>5248.64</v>
      </c>
    </row>
    <row r="477" spans="1:21">
      <c r="A477" s="19" t="s">
        <v>988</v>
      </c>
      <c r="B477" s="19" t="s">
        <v>26</v>
      </c>
      <c r="C477" s="19" t="s">
        <v>27</v>
      </c>
      <c r="D477" s="19" t="s">
        <v>53</v>
      </c>
      <c r="E477" s="20">
        <v>45583</v>
      </c>
      <c r="F477" s="19" t="s">
        <v>989</v>
      </c>
      <c r="G477" s="20">
        <v>45464</v>
      </c>
      <c r="H477" s="19" t="s">
        <v>62</v>
      </c>
      <c r="I477" s="19" t="s">
        <v>10</v>
      </c>
      <c r="J477" s="19" t="s">
        <v>48</v>
      </c>
      <c r="K477" s="19">
        <v>2</v>
      </c>
      <c r="L477" s="37">
        <v>1116.6199999999999</v>
      </c>
      <c r="M477" s="19" t="s">
        <v>38</v>
      </c>
      <c r="N477" s="19">
        <v>3</v>
      </c>
      <c r="O477" s="20">
        <v>45615</v>
      </c>
      <c r="P477" s="19">
        <v>82</v>
      </c>
      <c r="Q477" s="19" t="s">
        <v>23</v>
      </c>
      <c r="S477" s="20">
        <v>45577</v>
      </c>
      <c r="T477" s="19" t="s">
        <v>24</v>
      </c>
      <c r="U477" s="39">
        <f>Table1[[#This Row],[QUANTITY]]*Table1[[#This Row],[PRICE]]</f>
        <v>2233.2399999999998</v>
      </c>
    </row>
    <row r="478" spans="1:21">
      <c r="A478" s="19" t="s">
        <v>990</v>
      </c>
      <c r="B478" s="19" t="s">
        <v>5</v>
      </c>
      <c r="C478" s="19" t="s">
        <v>6</v>
      </c>
      <c r="D478" s="19" t="s">
        <v>31</v>
      </c>
      <c r="E478" s="20">
        <v>45520</v>
      </c>
      <c r="F478" s="19" t="s">
        <v>991</v>
      </c>
      <c r="G478" s="20">
        <v>45464</v>
      </c>
      <c r="H478" s="19" t="s">
        <v>19</v>
      </c>
      <c r="I478" s="19" t="s">
        <v>55</v>
      </c>
      <c r="J478" s="19" t="s">
        <v>33</v>
      </c>
      <c r="K478" s="19">
        <v>1</v>
      </c>
      <c r="L478" s="37">
        <v>1464.16</v>
      </c>
      <c r="M478" s="19" t="s">
        <v>38</v>
      </c>
      <c r="N478" s="19">
        <v>2</v>
      </c>
      <c r="O478" s="20">
        <v>45780</v>
      </c>
      <c r="P478" s="19">
        <v>340</v>
      </c>
      <c r="Q478" s="19" t="s">
        <v>13</v>
      </c>
      <c r="R478" s="19">
        <v>5</v>
      </c>
      <c r="S478" s="20">
        <v>45627</v>
      </c>
      <c r="T478" s="19" t="s">
        <v>14</v>
      </c>
      <c r="U478" s="39">
        <f>Table1[[#This Row],[QUANTITY]]*Table1[[#This Row],[PRICE]]</f>
        <v>1464.16</v>
      </c>
    </row>
    <row r="479" spans="1:21">
      <c r="A479" s="19" t="s">
        <v>992</v>
      </c>
      <c r="B479" s="19" t="s">
        <v>46</v>
      </c>
      <c r="C479" s="19" t="s">
        <v>16</v>
      </c>
      <c r="D479" s="19" t="s">
        <v>53</v>
      </c>
      <c r="E479" s="20">
        <v>45314</v>
      </c>
      <c r="F479" s="19" t="s">
        <v>993</v>
      </c>
      <c r="G479" s="20">
        <v>45464</v>
      </c>
      <c r="H479" s="19" t="s">
        <v>29</v>
      </c>
      <c r="I479" s="19" t="s">
        <v>55</v>
      </c>
      <c r="J479" s="19" t="s">
        <v>21</v>
      </c>
      <c r="K479" s="19">
        <v>3</v>
      </c>
      <c r="L479" s="37">
        <v>359.45</v>
      </c>
      <c r="M479" s="19" t="s">
        <v>38</v>
      </c>
      <c r="N479" s="19">
        <v>30</v>
      </c>
      <c r="O479" s="20">
        <v>45772</v>
      </c>
      <c r="P479" s="19">
        <v>155</v>
      </c>
      <c r="Q479" s="19" t="s">
        <v>13</v>
      </c>
      <c r="R479" s="19">
        <v>2</v>
      </c>
      <c r="S479" s="20">
        <v>45594</v>
      </c>
      <c r="T479" s="19" t="s">
        <v>34</v>
      </c>
      <c r="U479" s="39">
        <f>Table1[[#This Row],[QUANTITY]]*Table1[[#This Row],[PRICE]]</f>
        <v>1078.3499999999999</v>
      </c>
    </row>
    <row r="480" spans="1:21">
      <c r="A480" s="19" t="s">
        <v>994</v>
      </c>
      <c r="B480" s="19" t="s">
        <v>46</v>
      </c>
      <c r="C480" s="19" t="s">
        <v>16</v>
      </c>
      <c r="D480" s="19" t="s">
        <v>17</v>
      </c>
      <c r="E480" s="20">
        <v>45669</v>
      </c>
      <c r="F480" s="19" t="s">
        <v>995</v>
      </c>
      <c r="G480" s="20">
        <v>45465</v>
      </c>
      <c r="H480" s="19" t="s">
        <v>44</v>
      </c>
      <c r="I480" s="19" t="s">
        <v>10</v>
      </c>
      <c r="J480" s="19" t="s">
        <v>21</v>
      </c>
      <c r="K480" s="19">
        <v>3</v>
      </c>
      <c r="L480" s="37">
        <v>729.12</v>
      </c>
      <c r="M480" s="19" t="s">
        <v>22</v>
      </c>
      <c r="N480" s="19">
        <v>5</v>
      </c>
      <c r="O480" s="20">
        <v>45565</v>
      </c>
      <c r="P480" s="19">
        <v>216</v>
      </c>
      <c r="Q480" s="19" t="s">
        <v>23</v>
      </c>
      <c r="R480" s="19">
        <v>5</v>
      </c>
      <c r="S480" s="20">
        <v>45670</v>
      </c>
      <c r="T480" s="19" t="s">
        <v>14</v>
      </c>
      <c r="U480" s="39">
        <f>Table1[[#This Row],[QUANTITY]]*Table1[[#This Row],[PRICE]]</f>
        <v>2187.36</v>
      </c>
    </row>
    <row r="481" spans="1:21">
      <c r="A481" s="19" t="s">
        <v>996</v>
      </c>
      <c r="B481" s="19" t="s">
        <v>46</v>
      </c>
      <c r="C481" s="19" t="s">
        <v>27</v>
      </c>
      <c r="D481" s="19" t="s">
        <v>7</v>
      </c>
      <c r="E481" s="20">
        <v>45742</v>
      </c>
      <c r="F481" s="19" t="s">
        <v>997</v>
      </c>
      <c r="G481" s="20">
        <v>45465</v>
      </c>
      <c r="H481" s="19" t="s">
        <v>19</v>
      </c>
      <c r="I481" s="19" t="s">
        <v>20</v>
      </c>
      <c r="J481" s="19" t="s">
        <v>11</v>
      </c>
      <c r="K481" s="19">
        <v>5</v>
      </c>
      <c r="L481" s="37">
        <v>239.51</v>
      </c>
      <c r="M481" s="19" t="s">
        <v>22</v>
      </c>
      <c r="N481" s="19">
        <v>47</v>
      </c>
      <c r="O481" s="20">
        <v>45760</v>
      </c>
      <c r="P481" s="19">
        <v>487</v>
      </c>
      <c r="Q481" s="19" t="s">
        <v>23</v>
      </c>
      <c r="R481" s="19">
        <v>2</v>
      </c>
      <c r="S481" s="20">
        <v>45604</v>
      </c>
      <c r="T481" s="19" t="s">
        <v>14</v>
      </c>
      <c r="U481" s="39">
        <f>Table1[[#This Row],[QUANTITY]]*Table1[[#This Row],[PRICE]]</f>
        <v>1197.55</v>
      </c>
    </row>
    <row r="482" spans="1:21">
      <c r="A482" s="19" t="s">
        <v>998</v>
      </c>
      <c r="B482" s="19" t="s">
        <v>46</v>
      </c>
      <c r="C482" s="19" t="s">
        <v>16</v>
      </c>
      <c r="D482" s="19" t="s">
        <v>70</v>
      </c>
      <c r="E482" s="20">
        <v>45624</v>
      </c>
      <c r="F482" s="19" t="s">
        <v>999</v>
      </c>
      <c r="G482" s="20">
        <v>45465</v>
      </c>
      <c r="H482" s="19" t="s">
        <v>29</v>
      </c>
      <c r="I482" s="19" t="s">
        <v>51</v>
      </c>
      <c r="J482" s="19" t="s">
        <v>21</v>
      </c>
      <c r="K482" s="19">
        <v>1</v>
      </c>
      <c r="L482" s="37">
        <v>377.81</v>
      </c>
      <c r="M482" s="19" t="s">
        <v>22</v>
      </c>
      <c r="N482" s="19">
        <v>47</v>
      </c>
      <c r="O482" s="20">
        <v>45554</v>
      </c>
      <c r="P482" s="19">
        <v>290</v>
      </c>
      <c r="Q482" s="19" t="s">
        <v>13</v>
      </c>
      <c r="S482" s="20">
        <v>45536</v>
      </c>
      <c r="T482" s="19" t="s">
        <v>24</v>
      </c>
      <c r="U482" s="39">
        <f>Table1[[#This Row],[QUANTITY]]*Table1[[#This Row],[PRICE]]</f>
        <v>377.81</v>
      </c>
    </row>
    <row r="483" spans="1:21">
      <c r="A483" s="19" t="s">
        <v>1000</v>
      </c>
      <c r="B483" s="19" t="s">
        <v>5</v>
      </c>
      <c r="C483" s="19" t="s">
        <v>6</v>
      </c>
      <c r="D483" s="19" t="s">
        <v>31</v>
      </c>
      <c r="E483" s="20">
        <v>45506</v>
      </c>
      <c r="F483" s="19" t="s">
        <v>1001</v>
      </c>
      <c r="G483" s="20">
        <v>45465</v>
      </c>
      <c r="H483" s="19" t="s">
        <v>44</v>
      </c>
      <c r="I483" s="19" t="s">
        <v>55</v>
      </c>
      <c r="J483" s="19" t="s">
        <v>11</v>
      </c>
      <c r="K483" s="19">
        <v>1</v>
      </c>
      <c r="L483" s="37">
        <v>1043</v>
      </c>
      <c r="M483" s="19" t="s">
        <v>38</v>
      </c>
      <c r="N483" s="19">
        <v>25</v>
      </c>
      <c r="O483" s="20">
        <v>45847</v>
      </c>
      <c r="P483" s="19">
        <v>214</v>
      </c>
      <c r="Q483" s="19" t="s">
        <v>23</v>
      </c>
      <c r="R483" s="19">
        <v>5</v>
      </c>
      <c r="S483" s="20">
        <v>45665</v>
      </c>
      <c r="T483" s="19" t="s">
        <v>34</v>
      </c>
      <c r="U483" s="39">
        <f>Table1[[#This Row],[QUANTITY]]*Table1[[#This Row],[PRICE]]</f>
        <v>1043</v>
      </c>
    </row>
    <row r="484" spans="1:21">
      <c r="A484" s="19" t="s">
        <v>1002</v>
      </c>
      <c r="B484" s="19" t="s">
        <v>46</v>
      </c>
      <c r="C484" s="19" t="s">
        <v>6</v>
      </c>
      <c r="D484" s="19" t="s">
        <v>17</v>
      </c>
      <c r="E484" s="20">
        <v>45400</v>
      </c>
      <c r="F484" s="19" t="s">
        <v>1003</v>
      </c>
      <c r="G484" s="20">
        <v>45465</v>
      </c>
      <c r="H484" s="19" t="s">
        <v>29</v>
      </c>
      <c r="I484" s="19" t="s">
        <v>37</v>
      </c>
      <c r="J484" s="19" t="s">
        <v>11</v>
      </c>
      <c r="K484" s="19">
        <v>3</v>
      </c>
      <c r="L484" s="37">
        <v>1449.87</v>
      </c>
      <c r="M484" s="19" t="s">
        <v>12</v>
      </c>
      <c r="N484" s="19">
        <v>43</v>
      </c>
      <c r="O484" s="20">
        <v>45714</v>
      </c>
      <c r="P484" s="19">
        <v>189</v>
      </c>
      <c r="Q484" s="19" t="s">
        <v>23</v>
      </c>
      <c r="R484" s="19">
        <v>2</v>
      </c>
      <c r="S484" s="20">
        <v>45568</v>
      </c>
      <c r="T484" s="19" t="s">
        <v>14</v>
      </c>
      <c r="U484" s="39">
        <f>Table1[[#This Row],[QUANTITY]]*Table1[[#This Row],[PRICE]]</f>
        <v>4349.6099999999997</v>
      </c>
    </row>
    <row r="485" spans="1:21">
      <c r="A485" s="19" t="s">
        <v>1004</v>
      </c>
      <c r="B485" s="19" t="s">
        <v>26</v>
      </c>
      <c r="C485" s="19" t="s">
        <v>27</v>
      </c>
      <c r="D485" s="19" t="s">
        <v>7</v>
      </c>
      <c r="E485" s="20">
        <v>45799</v>
      </c>
      <c r="F485" s="19" t="s">
        <v>1005</v>
      </c>
      <c r="G485" s="20">
        <v>45465</v>
      </c>
      <c r="H485" s="19" t="s">
        <v>9</v>
      </c>
      <c r="I485" s="19" t="s">
        <v>10</v>
      </c>
      <c r="J485" s="19" t="s">
        <v>21</v>
      </c>
      <c r="K485" s="19">
        <v>1</v>
      </c>
      <c r="L485" s="37">
        <v>1161.05</v>
      </c>
      <c r="M485" s="19" t="s">
        <v>22</v>
      </c>
      <c r="N485" s="19">
        <v>22</v>
      </c>
      <c r="O485" s="20">
        <v>45563</v>
      </c>
      <c r="P485" s="19">
        <v>158</v>
      </c>
      <c r="Q485" s="19" t="s">
        <v>13</v>
      </c>
      <c r="S485" s="20">
        <v>45529</v>
      </c>
      <c r="T485" s="19" t="s">
        <v>24</v>
      </c>
      <c r="U485" s="39">
        <f>Table1[[#This Row],[QUANTITY]]*Table1[[#This Row],[PRICE]]</f>
        <v>1161.05</v>
      </c>
    </row>
    <row r="486" spans="1:21">
      <c r="A486" s="19" t="s">
        <v>1006</v>
      </c>
      <c r="B486" s="19" t="s">
        <v>46</v>
      </c>
      <c r="C486" s="19" t="s">
        <v>6</v>
      </c>
      <c r="D486" s="19" t="s">
        <v>7</v>
      </c>
      <c r="E486" s="20">
        <v>45498</v>
      </c>
      <c r="F486" s="19" t="s">
        <v>1007</v>
      </c>
      <c r="G486" s="20">
        <v>45465</v>
      </c>
      <c r="H486" s="19" t="s">
        <v>44</v>
      </c>
      <c r="I486" s="19" t="s">
        <v>37</v>
      </c>
      <c r="J486" s="19" t="s">
        <v>48</v>
      </c>
      <c r="K486" s="19">
        <v>4</v>
      </c>
      <c r="L486" s="37">
        <v>1147.06</v>
      </c>
      <c r="M486" s="19" t="s">
        <v>38</v>
      </c>
      <c r="N486" s="19">
        <v>8</v>
      </c>
      <c r="O486" s="20">
        <v>45654</v>
      </c>
      <c r="P486" s="19">
        <v>482</v>
      </c>
      <c r="Q486" s="19" t="s">
        <v>23</v>
      </c>
      <c r="R486" s="19">
        <v>1</v>
      </c>
      <c r="S486" s="20">
        <v>45626</v>
      </c>
      <c r="T486" s="19" t="s">
        <v>34</v>
      </c>
      <c r="U486" s="39">
        <f>Table1[[#This Row],[QUANTITY]]*Table1[[#This Row],[PRICE]]</f>
        <v>4588.24</v>
      </c>
    </row>
    <row r="487" spans="1:21">
      <c r="A487" s="19" t="s">
        <v>1008</v>
      </c>
      <c r="B487" s="19" t="s">
        <v>46</v>
      </c>
      <c r="C487" s="19" t="s">
        <v>27</v>
      </c>
      <c r="D487" s="19" t="s">
        <v>17</v>
      </c>
      <c r="E487" s="20">
        <v>45171</v>
      </c>
      <c r="F487" s="19" t="s">
        <v>1009</v>
      </c>
      <c r="G487" s="20">
        <v>45465</v>
      </c>
      <c r="H487" s="19" t="s">
        <v>44</v>
      </c>
      <c r="I487" s="19" t="s">
        <v>37</v>
      </c>
      <c r="J487" s="19" t="s">
        <v>11</v>
      </c>
      <c r="K487" s="19">
        <v>5</v>
      </c>
      <c r="L487" s="37">
        <v>1098.22</v>
      </c>
      <c r="M487" s="19" t="s">
        <v>38</v>
      </c>
      <c r="N487" s="19">
        <v>22</v>
      </c>
      <c r="O487" s="20">
        <v>45755</v>
      </c>
      <c r="P487" s="19">
        <v>5</v>
      </c>
      <c r="Q487" s="19" t="s">
        <v>23</v>
      </c>
      <c r="S487" s="20">
        <v>45818</v>
      </c>
      <c r="T487" s="19" t="s">
        <v>24</v>
      </c>
      <c r="U487" s="39">
        <f>Table1[[#This Row],[QUANTITY]]*Table1[[#This Row],[PRICE]]</f>
        <v>5491.1</v>
      </c>
    </row>
    <row r="488" spans="1:21">
      <c r="A488" s="19" t="s">
        <v>1010</v>
      </c>
      <c r="B488" s="19" t="s">
        <v>5</v>
      </c>
      <c r="C488" s="19" t="s">
        <v>27</v>
      </c>
      <c r="D488" s="19" t="s">
        <v>70</v>
      </c>
      <c r="E488" s="20">
        <v>45869</v>
      </c>
      <c r="F488" s="19" t="s">
        <v>1011</v>
      </c>
      <c r="G488" s="20">
        <v>45465</v>
      </c>
      <c r="H488" s="19" t="s">
        <v>19</v>
      </c>
      <c r="I488" s="19" t="s">
        <v>20</v>
      </c>
      <c r="J488" s="19" t="s">
        <v>11</v>
      </c>
      <c r="K488" s="19">
        <v>2</v>
      </c>
      <c r="L488" s="37">
        <v>433.5</v>
      </c>
      <c r="M488" s="19" t="s">
        <v>22</v>
      </c>
      <c r="N488" s="19">
        <v>43</v>
      </c>
      <c r="O488" s="20">
        <v>45797</v>
      </c>
      <c r="P488" s="19">
        <v>28</v>
      </c>
      <c r="Q488" s="19" t="s">
        <v>13</v>
      </c>
      <c r="R488" s="19">
        <v>1</v>
      </c>
      <c r="S488" s="20">
        <v>45713</v>
      </c>
      <c r="T488" s="19" t="s">
        <v>14</v>
      </c>
      <c r="U488" s="39">
        <f>Table1[[#This Row],[QUANTITY]]*Table1[[#This Row],[PRICE]]</f>
        <v>867</v>
      </c>
    </row>
    <row r="489" spans="1:21">
      <c r="A489" s="19" t="s">
        <v>1012</v>
      </c>
      <c r="B489" s="19" t="s">
        <v>46</v>
      </c>
      <c r="C489" s="19" t="s">
        <v>27</v>
      </c>
      <c r="D489" s="19" t="s">
        <v>7</v>
      </c>
      <c r="E489" s="20">
        <v>45678</v>
      </c>
      <c r="F489" s="19" t="s">
        <v>1013</v>
      </c>
      <c r="G489" s="20">
        <v>45465</v>
      </c>
      <c r="H489" s="19" t="s">
        <v>44</v>
      </c>
      <c r="I489" s="19" t="s">
        <v>20</v>
      </c>
      <c r="J489" s="19" t="s">
        <v>48</v>
      </c>
      <c r="K489" s="19">
        <v>4</v>
      </c>
      <c r="L489" s="37">
        <v>121.44</v>
      </c>
      <c r="M489" s="19" t="s">
        <v>22</v>
      </c>
      <c r="N489" s="19">
        <v>48</v>
      </c>
      <c r="O489" s="20">
        <v>45720</v>
      </c>
      <c r="P489" s="19">
        <v>431</v>
      </c>
      <c r="Q489" s="19" t="s">
        <v>13</v>
      </c>
      <c r="S489" s="20">
        <v>45676</v>
      </c>
      <c r="T489" s="19" t="s">
        <v>24</v>
      </c>
      <c r="U489" s="39">
        <f>Table1[[#This Row],[QUANTITY]]*Table1[[#This Row],[PRICE]]</f>
        <v>485.76</v>
      </c>
    </row>
    <row r="490" spans="1:21">
      <c r="A490" s="19" t="s">
        <v>1014</v>
      </c>
      <c r="B490" s="19" t="s">
        <v>26</v>
      </c>
      <c r="C490" s="19" t="s">
        <v>6</v>
      </c>
      <c r="D490" s="19" t="s">
        <v>31</v>
      </c>
      <c r="E490" s="20">
        <v>45573</v>
      </c>
      <c r="F490" s="19" t="s">
        <v>1015</v>
      </c>
      <c r="G490" s="20">
        <v>45465</v>
      </c>
      <c r="H490" s="19" t="s">
        <v>29</v>
      </c>
      <c r="I490" s="19" t="s">
        <v>37</v>
      </c>
      <c r="J490" s="19" t="s">
        <v>41</v>
      </c>
      <c r="K490" s="19">
        <v>4</v>
      </c>
      <c r="L490" s="37">
        <v>665.96</v>
      </c>
      <c r="M490" s="19" t="s">
        <v>22</v>
      </c>
      <c r="N490" s="19">
        <v>33</v>
      </c>
      <c r="O490" s="20">
        <v>45612</v>
      </c>
      <c r="P490" s="19">
        <v>40</v>
      </c>
      <c r="Q490" s="19" t="s">
        <v>13</v>
      </c>
      <c r="S490" s="20">
        <v>45758</v>
      </c>
      <c r="T490" s="19" t="s">
        <v>24</v>
      </c>
      <c r="U490" s="39">
        <f>Table1[[#This Row],[QUANTITY]]*Table1[[#This Row],[PRICE]]</f>
        <v>2663.84</v>
      </c>
    </row>
    <row r="491" spans="1:21">
      <c r="A491" s="19" t="s">
        <v>1016</v>
      </c>
      <c r="B491" s="19" t="s">
        <v>5</v>
      </c>
      <c r="C491" s="19" t="s">
        <v>6</v>
      </c>
      <c r="D491" s="19" t="s">
        <v>31</v>
      </c>
      <c r="E491" s="20">
        <v>45775</v>
      </c>
      <c r="F491" s="19" t="s">
        <v>1017</v>
      </c>
      <c r="G491" s="20">
        <v>45465</v>
      </c>
      <c r="H491" s="19" t="s">
        <v>9</v>
      </c>
      <c r="I491" s="19" t="s">
        <v>55</v>
      </c>
      <c r="J491" s="19" t="s">
        <v>33</v>
      </c>
      <c r="K491" s="19">
        <v>4</v>
      </c>
      <c r="L491" s="37">
        <v>452.06</v>
      </c>
      <c r="M491" s="19" t="s">
        <v>12</v>
      </c>
      <c r="N491" s="19">
        <v>14</v>
      </c>
      <c r="O491" s="20">
        <v>45583</v>
      </c>
      <c r="P491" s="19">
        <v>416</v>
      </c>
      <c r="Q491" s="19" t="s">
        <v>23</v>
      </c>
      <c r="R491" s="19">
        <v>4</v>
      </c>
      <c r="S491" s="20">
        <v>45581</v>
      </c>
      <c r="T491" s="19" t="s">
        <v>14</v>
      </c>
      <c r="U491" s="39">
        <f>Table1[[#This Row],[QUANTITY]]*Table1[[#This Row],[PRICE]]</f>
        <v>1808.24</v>
      </c>
    </row>
    <row r="492" spans="1:21">
      <c r="A492" s="19" t="s">
        <v>1018</v>
      </c>
      <c r="B492" s="19" t="s">
        <v>5</v>
      </c>
      <c r="C492" s="19" t="s">
        <v>6</v>
      </c>
      <c r="D492" s="19" t="s">
        <v>70</v>
      </c>
      <c r="E492" s="20">
        <v>45574</v>
      </c>
      <c r="F492" s="19" t="s">
        <v>1019</v>
      </c>
      <c r="G492" s="20">
        <v>45466</v>
      </c>
      <c r="H492" s="19" t="s">
        <v>44</v>
      </c>
      <c r="I492" s="19" t="s">
        <v>51</v>
      </c>
      <c r="J492" s="19" t="s">
        <v>48</v>
      </c>
      <c r="K492" s="19">
        <v>1</v>
      </c>
      <c r="L492" s="37">
        <v>1042.3499999999999</v>
      </c>
      <c r="M492" s="19" t="s">
        <v>12</v>
      </c>
      <c r="N492" s="19">
        <v>50</v>
      </c>
      <c r="O492" s="20">
        <v>45717</v>
      </c>
      <c r="P492" s="19">
        <v>189</v>
      </c>
      <c r="Q492" s="19" t="s">
        <v>23</v>
      </c>
      <c r="S492" s="20">
        <v>45556</v>
      </c>
      <c r="T492" s="19" t="s">
        <v>24</v>
      </c>
      <c r="U492" s="39">
        <f>Table1[[#This Row],[QUANTITY]]*Table1[[#This Row],[PRICE]]</f>
        <v>1042.3499999999999</v>
      </c>
    </row>
    <row r="493" spans="1:21">
      <c r="A493" s="19" t="s">
        <v>1020</v>
      </c>
      <c r="B493" s="19" t="s">
        <v>5</v>
      </c>
      <c r="C493" s="19" t="s">
        <v>6</v>
      </c>
      <c r="D493" s="19" t="s">
        <v>53</v>
      </c>
      <c r="E493" s="20">
        <v>45220</v>
      </c>
      <c r="F493" s="19" t="s">
        <v>1021</v>
      </c>
      <c r="G493" s="20">
        <v>45466</v>
      </c>
      <c r="H493" s="19" t="s">
        <v>19</v>
      </c>
      <c r="I493" s="19" t="s">
        <v>37</v>
      </c>
      <c r="J493" s="19" t="s">
        <v>21</v>
      </c>
      <c r="K493" s="19">
        <v>3</v>
      </c>
      <c r="L493" s="37">
        <v>642.1</v>
      </c>
      <c r="M493" s="19" t="s">
        <v>12</v>
      </c>
      <c r="N493" s="19">
        <v>27</v>
      </c>
      <c r="O493" s="20">
        <v>45664</v>
      </c>
      <c r="P493" s="19">
        <v>471</v>
      </c>
      <c r="Q493" s="19" t="s">
        <v>13</v>
      </c>
      <c r="S493" s="20">
        <v>45776</v>
      </c>
      <c r="T493" s="19" t="s">
        <v>24</v>
      </c>
      <c r="U493" s="39">
        <f>Table1[[#This Row],[QUANTITY]]*Table1[[#This Row],[PRICE]]</f>
        <v>1926.3000000000002</v>
      </c>
    </row>
    <row r="494" spans="1:21">
      <c r="A494" s="19" t="s">
        <v>1022</v>
      </c>
      <c r="B494" s="19" t="s">
        <v>5</v>
      </c>
      <c r="C494" s="19" t="s">
        <v>16</v>
      </c>
      <c r="D494" s="19" t="s">
        <v>70</v>
      </c>
      <c r="E494" s="20">
        <v>45477</v>
      </c>
      <c r="F494" s="19" t="s">
        <v>1023</v>
      </c>
      <c r="G494" s="20">
        <v>45466</v>
      </c>
      <c r="H494" s="19" t="s">
        <v>19</v>
      </c>
      <c r="I494" s="19" t="s">
        <v>55</v>
      </c>
      <c r="J494" s="19" t="s">
        <v>33</v>
      </c>
      <c r="K494" s="19">
        <v>1</v>
      </c>
      <c r="L494" s="37">
        <v>1217.29</v>
      </c>
      <c r="M494" s="19" t="s">
        <v>22</v>
      </c>
      <c r="N494" s="19">
        <v>44</v>
      </c>
      <c r="O494" s="20">
        <v>45817</v>
      </c>
      <c r="P494" s="19">
        <v>99</v>
      </c>
      <c r="Q494" s="19" t="s">
        <v>23</v>
      </c>
      <c r="S494" s="20">
        <v>45529</v>
      </c>
      <c r="T494" s="19" t="s">
        <v>24</v>
      </c>
      <c r="U494" s="39">
        <f>Table1[[#This Row],[QUANTITY]]*Table1[[#This Row],[PRICE]]</f>
        <v>1217.29</v>
      </c>
    </row>
    <row r="495" spans="1:21">
      <c r="A495" s="19" t="s">
        <v>1024</v>
      </c>
      <c r="B495" s="19" t="s">
        <v>26</v>
      </c>
      <c r="C495" s="19" t="s">
        <v>6</v>
      </c>
      <c r="D495" s="19" t="s">
        <v>70</v>
      </c>
      <c r="E495" s="20">
        <v>45284</v>
      </c>
      <c r="F495" s="19" t="s">
        <v>1025</v>
      </c>
      <c r="G495" s="20">
        <v>45466</v>
      </c>
      <c r="H495" s="19" t="s">
        <v>9</v>
      </c>
      <c r="I495" s="19" t="s">
        <v>51</v>
      </c>
      <c r="J495" s="19" t="s">
        <v>48</v>
      </c>
      <c r="K495" s="19">
        <v>3</v>
      </c>
      <c r="L495" s="37">
        <v>959.58</v>
      </c>
      <c r="M495" s="19" t="s">
        <v>12</v>
      </c>
      <c r="N495" s="19">
        <v>46</v>
      </c>
      <c r="O495" s="20">
        <v>45765</v>
      </c>
      <c r="P495" s="19">
        <v>120</v>
      </c>
      <c r="Q495" s="19" t="s">
        <v>23</v>
      </c>
      <c r="S495" s="20">
        <v>45712</v>
      </c>
      <c r="T495" s="19" t="s">
        <v>24</v>
      </c>
      <c r="U495" s="39">
        <f>Table1[[#This Row],[QUANTITY]]*Table1[[#This Row],[PRICE]]</f>
        <v>2878.7400000000002</v>
      </c>
    </row>
    <row r="496" spans="1:21">
      <c r="A496" s="19" t="s">
        <v>1026</v>
      </c>
      <c r="B496" s="19" t="s">
        <v>46</v>
      </c>
      <c r="C496" s="19" t="s">
        <v>27</v>
      </c>
      <c r="D496" s="19" t="s">
        <v>7</v>
      </c>
      <c r="E496" s="20">
        <v>45604</v>
      </c>
      <c r="F496" s="19" t="s">
        <v>1027</v>
      </c>
      <c r="G496" s="20">
        <v>45466</v>
      </c>
      <c r="H496" s="19" t="s">
        <v>9</v>
      </c>
      <c r="I496" s="19" t="s">
        <v>55</v>
      </c>
      <c r="J496" s="19" t="s">
        <v>11</v>
      </c>
      <c r="K496" s="19">
        <v>5</v>
      </c>
      <c r="L496" s="37">
        <v>138.81</v>
      </c>
      <c r="M496" s="19" t="s">
        <v>38</v>
      </c>
      <c r="N496" s="19">
        <v>25</v>
      </c>
      <c r="O496" s="20">
        <v>45708</v>
      </c>
      <c r="P496" s="19">
        <v>72</v>
      </c>
      <c r="Q496" s="19" t="s">
        <v>13</v>
      </c>
      <c r="S496" s="20">
        <v>45688</v>
      </c>
      <c r="T496" s="19" t="s">
        <v>24</v>
      </c>
      <c r="U496" s="39">
        <f>Table1[[#This Row],[QUANTITY]]*Table1[[#This Row],[PRICE]]</f>
        <v>694.05</v>
      </c>
    </row>
    <row r="497" spans="1:21">
      <c r="A497" s="19" t="s">
        <v>1028</v>
      </c>
      <c r="B497" s="19" t="s">
        <v>5</v>
      </c>
      <c r="C497" s="19" t="s">
        <v>16</v>
      </c>
      <c r="D497" s="19" t="s">
        <v>7</v>
      </c>
      <c r="E497" s="20">
        <v>45281</v>
      </c>
      <c r="F497" s="19" t="s">
        <v>1029</v>
      </c>
      <c r="G497" s="20">
        <v>45467</v>
      </c>
      <c r="H497" s="19" t="s">
        <v>29</v>
      </c>
      <c r="I497" s="19" t="s">
        <v>10</v>
      </c>
      <c r="J497" s="19" t="s">
        <v>21</v>
      </c>
      <c r="K497" s="19">
        <v>5</v>
      </c>
      <c r="L497" s="37">
        <v>232.89</v>
      </c>
      <c r="M497" s="19" t="s">
        <v>12</v>
      </c>
      <c r="N497" s="19">
        <v>9</v>
      </c>
      <c r="O497" s="20">
        <v>45780</v>
      </c>
      <c r="P497" s="19">
        <v>108</v>
      </c>
      <c r="Q497" s="19" t="s">
        <v>13</v>
      </c>
      <c r="R497" s="19">
        <v>5</v>
      </c>
      <c r="S497" s="20">
        <v>45588</v>
      </c>
      <c r="T497" s="19" t="s">
        <v>14</v>
      </c>
      <c r="U497" s="39">
        <f>Table1[[#This Row],[QUANTITY]]*Table1[[#This Row],[PRICE]]</f>
        <v>1164.4499999999998</v>
      </c>
    </row>
    <row r="498" spans="1:21">
      <c r="A498" s="19" t="s">
        <v>1030</v>
      </c>
      <c r="B498" s="19" t="s">
        <v>46</v>
      </c>
      <c r="C498" s="19" t="s">
        <v>27</v>
      </c>
      <c r="D498" s="19" t="s">
        <v>31</v>
      </c>
      <c r="E498" s="20">
        <v>45614</v>
      </c>
      <c r="F498" s="19" t="s">
        <v>1031</v>
      </c>
      <c r="G498" s="20">
        <v>45467</v>
      </c>
      <c r="H498" s="19" t="s">
        <v>62</v>
      </c>
      <c r="I498" s="19" t="s">
        <v>10</v>
      </c>
      <c r="J498" s="19" t="s">
        <v>33</v>
      </c>
      <c r="K498" s="19">
        <v>3</v>
      </c>
      <c r="L498" s="37">
        <v>708.48</v>
      </c>
      <c r="M498" s="19" t="s">
        <v>12</v>
      </c>
      <c r="N498" s="19">
        <v>42</v>
      </c>
      <c r="O498" s="20">
        <v>45820</v>
      </c>
      <c r="P498" s="19">
        <v>207</v>
      </c>
      <c r="Q498" s="19" t="s">
        <v>23</v>
      </c>
      <c r="R498" s="19">
        <v>3</v>
      </c>
      <c r="S498" s="20">
        <v>45589</v>
      </c>
      <c r="T498" s="19" t="s">
        <v>34</v>
      </c>
      <c r="U498" s="39">
        <f>Table1[[#This Row],[QUANTITY]]*Table1[[#This Row],[PRICE]]</f>
        <v>2125.44</v>
      </c>
    </row>
    <row r="499" spans="1:21">
      <c r="A499" s="19" t="s">
        <v>1032</v>
      </c>
      <c r="B499" s="19" t="s">
        <v>46</v>
      </c>
      <c r="C499" s="19" t="s">
        <v>27</v>
      </c>
      <c r="D499" s="19" t="s">
        <v>53</v>
      </c>
      <c r="E499" s="20">
        <v>45209</v>
      </c>
      <c r="F499" s="19" t="s">
        <v>1033</v>
      </c>
      <c r="G499" s="20">
        <v>45467</v>
      </c>
      <c r="H499" s="19" t="s">
        <v>44</v>
      </c>
      <c r="I499" s="19" t="s">
        <v>55</v>
      </c>
      <c r="J499" s="19" t="s">
        <v>11</v>
      </c>
      <c r="K499" s="19">
        <v>3</v>
      </c>
      <c r="L499" s="37">
        <v>980.96</v>
      </c>
      <c r="M499" s="19" t="s">
        <v>12</v>
      </c>
      <c r="N499" s="19">
        <v>41</v>
      </c>
      <c r="O499" s="20">
        <v>45768</v>
      </c>
      <c r="P499" s="19">
        <v>84</v>
      </c>
      <c r="Q499" s="19" t="s">
        <v>13</v>
      </c>
      <c r="S499" s="20">
        <v>45780</v>
      </c>
      <c r="T499" s="19" t="s">
        <v>24</v>
      </c>
      <c r="U499" s="39">
        <f>Table1[[#This Row],[QUANTITY]]*Table1[[#This Row],[PRICE]]</f>
        <v>2942.88</v>
      </c>
    </row>
    <row r="500" spans="1:21">
      <c r="A500" s="19" t="s">
        <v>1034</v>
      </c>
      <c r="B500" s="19" t="s">
        <v>5</v>
      </c>
      <c r="C500" s="19" t="s">
        <v>16</v>
      </c>
      <c r="D500" s="19" t="s">
        <v>70</v>
      </c>
      <c r="E500" s="20">
        <v>45790</v>
      </c>
      <c r="F500" s="19" t="s">
        <v>1035</v>
      </c>
      <c r="G500" s="20">
        <v>45467</v>
      </c>
      <c r="H500" s="19" t="s">
        <v>19</v>
      </c>
      <c r="I500" s="19" t="s">
        <v>20</v>
      </c>
      <c r="J500" s="19" t="s">
        <v>41</v>
      </c>
      <c r="K500" s="19">
        <v>5</v>
      </c>
      <c r="L500" s="37">
        <v>683.33</v>
      </c>
      <c r="M500" s="19" t="s">
        <v>38</v>
      </c>
      <c r="N500" s="19">
        <v>10</v>
      </c>
      <c r="O500" s="20">
        <v>45877</v>
      </c>
      <c r="P500" s="19">
        <v>52</v>
      </c>
      <c r="Q500" s="19" t="s">
        <v>13</v>
      </c>
      <c r="R500" s="19">
        <v>5</v>
      </c>
      <c r="S500" s="20">
        <v>45850</v>
      </c>
      <c r="T500" s="19" t="s">
        <v>34</v>
      </c>
      <c r="U500" s="39">
        <f>Table1[[#This Row],[QUANTITY]]*Table1[[#This Row],[PRICE]]</f>
        <v>3416.65</v>
      </c>
    </row>
    <row r="501" spans="1:21">
      <c r="A501" s="19" t="s">
        <v>1036</v>
      </c>
      <c r="B501" s="19" t="s">
        <v>26</v>
      </c>
      <c r="C501" s="19" t="s">
        <v>16</v>
      </c>
      <c r="D501" s="19" t="s">
        <v>70</v>
      </c>
      <c r="E501" s="20">
        <v>45808</v>
      </c>
      <c r="F501" s="19" t="s">
        <v>1037</v>
      </c>
      <c r="G501" s="20">
        <v>45468</v>
      </c>
      <c r="H501" s="19" t="s">
        <v>44</v>
      </c>
      <c r="I501" s="19" t="s">
        <v>55</v>
      </c>
      <c r="J501" s="19" t="s">
        <v>48</v>
      </c>
      <c r="K501" s="19">
        <v>1</v>
      </c>
      <c r="L501" s="37">
        <v>642.39</v>
      </c>
      <c r="M501" s="19" t="s">
        <v>38</v>
      </c>
      <c r="N501" s="19">
        <v>17</v>
      </c>
      <c r="O501" s="20">
        <v>45549</v>
      </c>
      <c r="P501" s="19">
        <v>347</v>
      </c>
      <c r="Q501" s="19" t="s">
        <v>13</v>
      </c>
      <c r="S501" s="20">
        <v>45535</v>
      </c>
      <c r="T501" s="19" t="s">
        <v>24</v>
      </c>
      <c r="U501" s="39">
        <f>Table1[[#This Row],[QUANTITY]]*Table1[[#This Row],[PRICE]]</f>
        <v>642.39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CD9D-D5EA-469B-86D2-D86F2C60E3D6}">
  <dimension ref="A1:Q34"/>
  <sheetViews>
    <sheetView tabSelected="1" zoomScale="89" workbookViewId="0">
      <selection activeCell="L16" sqref="L16"/>
    </sheetView>
  </sheetViews>
  <sheetFormatPr defaultRowHeight="13.2"/>
  <cols>
    <col min="1" max="1" width="13.33203125" bestFit="1" customWidth="1"/>
    <col min="2" max="2" width="16.88671875" bestFit="1" customWidth="1"/>
    <col min="4" max="4" width="13.33203125" customWidth="1"/>
    <col min="5" max="5" width="16.6640625" bestFit="1" customWidth="1"/>
    <col min="10" max="10" width="14.21875" customWidth="1"/>
    <col min="11" max="11" width="14.109375" customWidth="1"/>
    <col min="13" max="13" width="9.88671875" customWidth="1"/>
  </cols>
  <sheetData>
    <row r="1" spans="1:17">
      <c r="A1" s="21" t="s">
        <v>1058</v>
      </c>
      <c r="D1" s="21" t="s">
        <v>1068</v>
      </c>
      <c r="J1" s="21" t="s">
        <v>1100</v>
      </c>
    </row>
    <row r="2" spans="1:17">
      <c r="A2" s="22" t="s">
        <v>1059</v>
      </c>
      <c r="B2" t="s">
        <v>1061</v>
      </c>
      <c r="D2" s="22" t="s">
        <v>1059</v>
      </c>
      <c r="E2" t="s">
        <v>1061</v>
      </c>
      <c r="J2" s="125" t="s">
        <v>1101</v>
      </c>
      <c r="K2" s="125"/>
      <c r="L2" s="125"/>
      <c r="M2" s="125"/>
      <c r="N2" s="125"/>
      <c r="O2" s="125"/>
      <c r="P2" s="125"/>
      <c r="Q2" s="125"/>
    </row>
    <row r="3" spans="1:17">
      <c r="A3" s="23" t="s">
        <v>29</v>
      </c>
      <c r="B3" s="24">
        <v>265411.62</v>
      </c>
      <c r="D3" s="23" t="s">
        <v>19</v>
      </c>
      <c r="E3">
        <v>261988.12999999986</v>
      </c>
      <c r="J3" s="125" t="s">
        <v>1102</v>
      </c>
      <c r="K3" s="125"/>
      <c r="L3" s="125"/>
      <c r="M3" s="125"/>
      <c r="N3" s="125"/>
      <c r="O3" s="125"/>
      <c r="P3" s="126"/>
      <c r="Q3" s="126"/>
    </row>
    <row r="4" spans="1:17">
      <c r="A4" s="23" t="s">
        <v>1060</v>
      </c>
      <c r="B4" s="24">
        <v>265411.62</v>
      </c>
      <c r="D4" s="23" t="s">
        <v>62</v>
      </c>
      <c r="E4">
        <v>253854.62000000008</v>
      </c>
      <c r="J4" s="125" t="s">
        <v>1103</v>
      </c>
      <c r="K4" s="125"/>
      <c r="L4" s="125"/>
      <c r="M4" s="125"/>
      <c r="N4" s="125"/>
      <c r="O4" s="125"/>
      <c r="P4" s="125"/>
      <c r="Q4" s="126"/>
    </row>
    <row r="5" spans="1:17">
      <c r="D5" s="23" t="s">
        <v>9</v>
      </c>
      <c r="E5">
        <v>185013.30999999994</v>
      </c>
      <c r="J5" s="125" t="s">
        <v>1104</v>
      </c>
      <c r="K5" s="125"/>
      <c r="L5" s="125"/>
      <c r="M5" s="125"/>
      <c r="N5" s="125"/>
      <c r="O5" s="125"/>
      <c r="P5" s="126"/>
      <c r="Q5" s="126"/>
    </row>
    <row r="6" spans="1:17">
      <c r="A6" s="21" t="s">
        <v>1062</v>
      </c>
      <c r="D6" s="23" t="s">
        <v>29</v>
      </c>
      <c r="E6">
        <v>265411.62</v>
      </c>
      <c r="J6" s="125" t="s">
        <v>1105</v>
      </c>
      <c r="K6" s="125"/>
      <c r="L6" s="125"/>
      <c r="M6" s="125"/>
      <c r="N6" s="126"/>
      <c r="O6" s="126"/>
      <c r="P6" s="126"/>
      <c r="Q6" s="126"/>
    </row>
    <row r="7" spans="1:17">
      <c r="A7" s="22" t="s">
        <v>1059</v>
      </c>
      <c r="B7" t="s">
        <v>1063</v>
      </c>
      <c r="D7" s="23" t="s">
        <v>44</v>
      </c>
      <c r="E7">
        <v>233308.30000000008</v>
      </c>
    </row>
    <row r="8" spans="1:17">
      <c r="A8" s="23" t="s">
        <v>17</v>
      </c>
      <c r="B8">
        <v>97</v>
      </c>
      <c r="D8" s="23" t="s">
        <v>1060</v>
      </c>
      <c r="E8">
        <v>1199575.98</v>
      </c>
    </row>
    <row r="9" spans="1:17">
      <c r="A9" s="23" t="s">
        <v>70</v>
      </c>
      <c r="B9">
        <v>104</v>
      </c>
      <c r="J9" s="124" t="s">
        <v>1106</v>
      </c>
      <c r="K9" s="127">
        <f>SUM('RAW DATA'!$U$2:$U$501)</f>
        <v>1199575.9800000004</v>
      </c>
    </row>
    <row r="10" spans="1:17">
      <c r="A10" s="23" t="s">
        <v>7</v>
      </c>
      <c r="B10">
        <v>85</v>
      </c>
      <c r="D10" s="21" t="s">
        <v>1069</v>
      </c>
      <c r="J10" s="124" t="s">
        <v>1107</v>
      </c>
      <c r="K10" s="40">
        <v>500</v>
      </c>
    </row>
    <row r="11" spans="1:17">
      <c r="A11" s="23" t="s">
        <v>31</v>
      </c>
      <c r="B11" s="95">
        <v>110</v>
      </c>
      <c r="J11" s="124" t="s">
        <v>1066</v>
      </c>
      <c r="K11" s="128">
        <f>AVERAGE(Table1[RATING])</f>
        <v>3.0737463126843658</v>
      </c>
    </row>
    <row r="12" spans="1:17">
      <c r="A12" s="23" t="s">
        <v>53</v>
      </c>
      <c r="B12">
        <v>104</v>
      </c>
      <c r="J12" s="124" t="s">
        <v>1108</v>
      </c>
      <c r="K12">
        <f>SUM('RAW DATA'!K2:K501)</f>
        <v>1480</v>
      </c>
    </row>
    <row r="13" spans="1:17">
      <c r="A13" s="23" t="s">
        <v>1060</v>
      </c>
      <c r="B13">
        <v>500</v>
      </c>
    </row>
    <row r="15" spans="1:17">
      <c r="A15" s="21" t="s">
        <v>1064</v>
      </c>
    </row>
    <row r="16" spans="1:17">
      <c r="A16" s="22" t="s">
        <v>1059</v>
      </c>
      <c r="B16" t="s">
        <v>1063</v>
      </c>
    </row>
    <row r="17" spans="1:4">
      <c r="A17" s="23" t="s">
        <v>38</v>
      </c>
      <c r="B17" s="95">
        <v>183</v>
      </c>
    </row>
    <row r="18" spans="1:4">
      <c r="A18" s="23" t="s">
        <v>22</v>
      </c>
      <c r="B18">
        <v>162</v>
      </c>
    </row>
    <row r="19" spans="1:4">
      <c r="A19" s="23" t="s">
        <v>12</v>
      </c>
      <c r="B19">
        <v>155</v>
      </c>
    </row>
    <row r="20" spans="1:4">
      <c r="A20" s="23" t="s">
        <v>1060</v>
      </c>
      <c r="B20">
        <v>500</v>
      </c>
    </row>
    <row r="22" spans="1:4">
      <c r="A22" s="21" t="s">
        <v>1065</v>
      </c>
    </row>
    <row r="23" spans="1:4" ht="13.8" thickBot="1">
      <c r="A23" s="23" t="s">
        <v>1066</v>
      </c>
      <c r="B23" s="42">
        <f>AVERAGE(Table1[RATING])</f>
        <v>3.0737463126843658</v>
      </c>
    </row>
    <row r="24" spans="1:4" ht="13.8" thickTop="1"/>
    <row r="27" spans="1:4">
      <c r="A27" s="21" t="s">
        <v>1067</v>
      </c>
    </row>
    <row r="28" spans="1:4">
      <c r="A28" s="22" t="s">
        <v>1059</v>
      </c>
      <c r="B28" t="s">
        <v>1086</v>
      </c>
    </row>
    <row r="29" spans="1:4">
      <c r="A29" s="23" t="s">
        <v>11</v>
      </c>
      <c r="B29" s="40">
        <v>289</v>
      </c>
      <c r="D29" s="21" t="s">
        <v>1070</v>
      </c>
    </row>
    <row r="30" spans="1:4">
      <c r="A30" s="23" t="s">
        <v>48</v>
      </c>
      <c r="B30" s="123">
        <v>334</v>
      </c>
    </row>
    <row r="31" spans="1:4">
      <c r="A31" s="23" t="s">
        <v>41</v>
      </c>
      <c r="B31" s="40">
        <v>282</v>
      </c>
    </row>
    <row r="32" spans="1:4">
      <c r="A32" s="23" t="s">
        <v>33</v>
      </c>
      <c r="B32" s="40">
        <v>256</v>
      </c>
    </row>
    <row r="33" spans="1:2">
      <c r="A33" s="23" t="s">
        <v>21</v>
      </c>
      <c r="B33" s="40">
        <v>319</v>
      </c>
    </row>
    <row r="34" spans="1:2">
      <c r="A34" s="23" t="s">
        <v>1060</v>
      </c>
      <c r="B34" s="40">
        <v>1480</v>
      </c>
    </row>
  </sheetData>
  <mergeCells count="5">
    <mergeCell ref="J2:Q2"/>
    <mergeCell ref="J3:O3"/>
    <mergeCell ref="J4:P4"/>
    <mergeCell ref="J5:O5"/>
    <mergeCell ref="J6:M6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2109-368E-4711-A192-B9A97222CDA3}">
  <dimension ref="A1:Y45"/>
  <sheetViews>
    <sheetView topLeftCell="A18" zoomScale="71" zoomScaleNormal="62" workbookViewId="0">
      <selection activeCell="H34" sqref="H34"/>
    </sheetView>
  </sheetViews>
  <sheetFormatPr defaultRowHeight="13.2"/>
  <cols>
    <col min="1" max="1" width="4.33203125" customWidth="1"/>
    <col min="2" max="2" width="2.44140625" customWidth="1"/>
    <col min="3" max="3" width="2.88671875" customWidth="1"/>
    <col min="4" max="5" width="20.33203125" customWidth="1"/>
    <col min="6" max="6" width="8.6640625" customWidth="1"/>
    <col min="7" max="7" width="5" customWidth="1"/>
    <col min="8" max="8" width="12.88671875" customWidth="1"/>
    <col min="9" max="9" width="15.109375" customWidth="1"/>
    <col min="10" max="10" width="21.77734375" customWidth="1"/>
    <col min="11" max="12" width="27.33203125" customWidth="1"/>
    <col min="13" max="13" width="19.109375" customWidth="1"/>
    <col min="14" max="15" width="11.21875" customWidth="1"/>
    <col min="16" max="17" width="13" customWidth="1"/>
    <col min="18" max="19" width="18" customWidth="1"/>
    <col min="20" max="20" width="15.77734375" customWidth="1"/>
    <col min="21" max="21" width="3.109375" customWidth="1"/>
    <col min="22" max="22" width="25.5546875" customWidth="1"/>
    <col min="23" max="23" width="22.109375" customWidth="1"/>
    <col min="24" max="24" width="3.109375" customWidth="1"/>
  </cols>
  <sheetData>
    <row r="1" spans="1:25" ht="19.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ht="19.8">
      <c r="A2" s="1"/>
      <c r="B2" s="2"/>
      <c r="C2" s="2"/>
      <c r="D2" s="2"/>
      <c r="E2" s="2"/>
      <c r="F2" s="2"/>
      <c r="G2" s="2"/>
      <c r="H2" s="3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2"/>
      <c r="W2" s="2"/>
      <c r="X2" s="4"/>
      <c r="Y2" s="4"/>
    </row>
    <row r="3" spans="1:25" ht="42" thickBot="1">
      <c r="A3" s="1"/>
      <c r="B3" s="2"/>
      <c r="C3" s="31" t="s">
        <v>0</v>
      </c>
      <c r="D3" s="25"/>
      <c r="E3" s="25"/>
      <c r="F3" s="25"/>
      <c r="G3" s="2"/>
      <c r="H3" s="26" t="s">
        <v>1071</v>
      </c>
      <c r="I3" s="54"/>
      <c r="J3" s="54"/>
      <c r="K3" s="26" t="s">
        <v>1074</v>
      </c>
      <c r="L3" s="54"/>
      <c r="M3" s="26" t="s">
        <v>1079</v>
      </c>
      <c r="N3" s="54"/>
      <c r="O3" s="54"/>
      <c r="P3" s="26" t="s">
        <v>1085</v>
      </c>
      <c r="Q3" s="54"/>
      <c r="R3" s="26" t="s">
        <v>1096</v>
      </c>
      <c r="S3" s="55"/>
      <c r="T3" s="6"/>
      <c r="U3" s="94" t="s">
        <v>1</v>
      </c>
      <c r="V3" s="52"/>
      <c r="W3" s="52"/>
      <c r="X3" s="2"/>
      <c r="Y3" s="6"/>
    </row>
    <row r="4" spans="1:25" ht="18.600000000000001" customHeight="1" thickTop="1">
      <c r="A4" s="1"/>
      <c r="B4" s="2"/>
      <c r="C4" s="2"/>
      <c r="D4" s="2"/>
      <c r="E4" s="2"/>
      <c r="F4" s="2"/>
      <c r="G4" s="2"/>
      <c r="H4" s="58">
        <f>H34</f>
        <v>500</v>
      </c>
      <c r="I4" s="61"/>
      <c r="J4" s="62"/>
      <c r="K4" s="59">
        <f>Q34</f>
        <v>1199575.98</v>
      </c>
      <c r="L4" s="63"/>
      <c r="M4" s="60">
        <f>M34</f>
        <v>3.0818040176967942</v>
      </c>
      <c r="N4" s="64"/>
      <c r="O4" s="65"/>
      <c r="P4" s="58">
        <f>K34</f>
        <v>1480</v>
      </c>
      <c r="Q4" s="62"/>
      <c r="R4" s="82">
        <f>J34</f>
        <v>13044</v>
      </c>
      <c r="S4" s="83"/>
      <c r="T4" s="7"/>
      <c r="U4" s="92">
        <f ca="1">TODAY()</f>
        <v>46098</v>
      </c>
      <c r="V4" s="93"/>
      <c r="W4" s="93"/>
      <c r="X4" s="2"/>
      <c r="Y4" s="7"/>
    </row>
    <row r="5" spans="1:25" ht="18.600000000000001" customHeight="1">
      <c r="A5" s="1"/>
      <c r="B5" s="2"/>
      <c r="C5" s="8"/>
      <c r="D5" s="51" t="s">
        <v>1097</v>
      </c>
      <c r="E5" s="51"/>
      <c r="F5" s="9"/>
      <c r="G5" s="10"/>
      <c r="H5" s="66"/>
      <c r="I5" s="67"/>
      <c r="J5" s="68"/>
      <c r="K5" s="69"/>
      <c r="L5" s="70"/>
      <c r="M5" s="71"/>
      <c r="N5" s="72"/>
      <c r="O5" s="73"/>
      <c r="P5" s="66"/>
      <c r="Q5" s="68"/>
      <c r="R5" s="84"/>
      <c r="S5" s="85"/>
      <c r="T5" s="7"/>
      <c r="U5" s="93"/>
      <c r="V5" s="93"/>
      <c r="W5" s="93"/>
      <c r="X5" s="2"/>
      <c r="Y5" s="7"/>
    </row>
    <row r="6" spans="1:25" ht="18.600000000000001" customHeight="1" thickBot="1">
      <c r="A6" s="1"/>
      <c r="B6" s="2"/>
      <c r="C6" s="8"/>
      <c r="D6" s="96"/>
      <c r="E6" s="96"/>
      <c r="F6" s="9"/>
      <c r="G6" s="10"/>
      <c r="H6" s="74"/>
      <c r="I6" s="75"/>
      <c r="J6" s="76"/>
      <c r="K6" s="77"/>
      <c r="L6" s="78"/>
      <c r="M6" s="79"/>
      <c r="N6" s="80"/>
      <c r="O6" s="81"/>
      <c r="P6" s="74"/>
      <c r="Q6" s="76"/>
      <c r="R6" s="86"/>
      <c r="S6" s="87"/>
      <c r="T6" s="7"/>
      <c r="U6" s="93"/>
      <c r="V6" s="93"/>
      <c r="W6" s="93"/>
      <c r="X6" s="2"/>
      <c r="Y6" s="7"/>
    </row>
    <row r="7" spans="1:25" ht="21.6" customHeight="1" thickTop="1">
      <c r="A7" s="1"/>
      <c r="B7" s="2"/>
      <c r="C7" s="29" t="s">
        <v>29</v>
      </c>
      <c r="D7" s="29"/>
      <c r="E7" s="29"/>
      <c r="F7" s="29"/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93"/>
      <c r="V7" s="93"/>
      <c r="W7" s="93"/>
      <c r="X7" s="2"/>
      <c r="Y7" s="2"/>
    </row>
    <row r="8" spans="1:25" ht="21.6" customHeight="1">
      <c r="A8" s="1"/>
      <c r="B8" s="2"/>
      <c r="C8" s="29"/>
      <c r="D8" s="29"/>
      <c r="E8" s="29"/>
      <c r="F8" s="29"/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93"/>
      <c r="V8" s="93"/>
      <c r="W8" s="93"/>
      <c r="X8" s="2"/>
      <c r="Y8" s="2"/>
    </row>
    <row r="9" spans="1:25" ht="21.6" customHeight="1">
      <c r="A9" s="1"/>
      <c r="B9" s="2"/>
      <c r="C9" s="29"/>
      <c r="D9" s="29"/>
      <c r="E9" s="29"/>
      <c r="F9" s="29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93"/>
      <c r="V9" s="93"/>
      <c r="W9" s="93"/>
      <c r="X9" s="2"/>
      <c r="Y9" s="2"/>
    </row>
    <row r="10" spans="1:25" ht="4.8" customHeight="1">
      <c r="A10" s="1"/>
      <c r="B10" s="2"/>
      <c r="C10" s="8"/>
      <c r="D10" s="12"/>
      <c r="E10" s="12"/>
      <c r="F10" s="12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3"/>
      <c r="X10" s="3"/>
      <c r="Y10" s="2"/>
    </row>
    <row r="11" spans="1:25" s="50" customFormat="1" ht="16.2" customHeight="1">
      <c r="A11" s="47"/>
      <c r="B11" s="48"/>
      <c r="C11" s="49"/>
      <c r="D11" s="53" t="s">
        <v>1098</v>
      </c>
      <c r="E11" s="53"/>
      <c r="F11" s="45"/>
      <c r="G11" s="46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102"/>
      <c r="V11" s="98" t="s">
        <v>1050</v>
      </c>
      <c r="W11" s="98"/>
      <c r="X11" s="102"/>
      <c r="Y11" s="48"/>
    </row>
    <row r="12" spans="1:25" ht="16.2" customHeight="1" thickBot="1">
      <c r="A12" s="1"/>
      <c r="B12" s="2"/>
      <c r="C12" s="8"/>
      <c r="D12" s="97"/>
      <c r="E12" s="97"/>
      <c r="F12" s="9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02"/>
      <c r="V12" s="98"/>
      <c r="W12" s="98"/>
      <c r="X12" s="102"/>
      <c r="Y12" s="2"/>
    </row>
    <row r="13" spans="1:25" ht="20.399999999999999" customHeight="1" thickTop="1" thickBot="1">
      <c r="A13" s="1"/>
      <c r="B13" s="2"/>
      <c r="C13" s="29" t="s">
        <v>31</v>
      </c>
      <c r="D13" s="29"/>
      <c r="E13" s="29"/>
      <c r="F13" s="29"/>
      <c r="G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02"/>
      <c r="V13" s="99"/>
      <c r="W13" s="99"/>
      <c r="X13" s="102"/>
      <c r="Y13" s="2"/>
    </row>
    <row r="14" spans="1:25" ht="20.399999999999999" customHeight="1" thickTop="1">
      <c r="A14" s="1"/>
      <c r="B14" s="2"/>
      <c r="C14" s="29"/>
      <c r="D14" s="29"/>
      <c r="E14" s="29"/>
      <c r="F14" s="29"/>
      <c r="G14" s="1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03" t="s">
        <v>38</v>
      </c>
      <c r="V14" s="100"/>
      <c r="W14" s="100"/>
      <c r="X14" s="89"/>
      <c r="Y14" s="2"/>
    </row>
    <row r="15" spans="1:25" ht="20.399999999999999" customHeight="1">
      <c r="A15" s="1"/>
      <c r="B15" s="2"/>
      <c r="C15" s="29"/>
      <c r="D15" s="29"/>
      <c r="E15" s="29"/>
      <c r="F15" s="29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01"/>
      <c r="V15" s="101"/>
      <c r="W15" s="101"/>
      <c r="X15" s="89"/>
      <c r="Y15" s="11"/>
    </row>
    <row r="16" spans="1:25" ht="6" customHeight="1">
      <c r="A16" s="1"/>
      <c r="B16" s="2"/>
      <c r="C16" s="2"/>
      <c r="D16" s="2"/>
      <c r="E16" s="2"/>
      <c r="F16" s="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01"/>
      <c r="V16" s="101"/>
      <c r="W16" s="101"/>
      <c r="X16" s="89"/>
      <c r="Y16" s="11"/>
    </row>
    <row r="17" spans="1:25" ht="13.8" customHeight="1">
      <c r="A17" s="1"/>
      <c r="B17" s="2"/>
      <c r="C17" s="104"/>
      <c r="D17" s="104"/>
      <c r="E17" s="104"/>
      <c r="F17" s="104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89"/>
      <c r="V17" s="98" t="s">
        <v>1099</v>
      </c>
      <c r="W17" s="98"/>
      <c r="X17" s="89"/>
      <c r="Y17" s="11"/>
    </row>
    <row r="18" spans="1:25" ht="13.8" customHeight="1">
      <c r="A18" s="1"/>
      <c r="B18" s="2"/>
      <c r="C18" s="104"/>
      <c r="D18" s="104"/>
      <c r="E18" s="104"/>
      <c r="F18" s="104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2"/>
      <c r="U18" s="89"/>
      <c r="V18" s="98"/>
      <c r="W18" s="98"/>
      <c r="X18" s="89"/>
      <c r="Y18" s="2"/>
    </row>
    <row r="19" spans="1:25" ht="13.2" customHeight="1" thickBot="1">
      <c r="A19" s="1"/>
      <c r="B19" s="2"/>
      <c r="C19" s="104"/>
      <c r="D19" s="104"/>
      <c r="E19" s="104"/>
      <c r="F19" s="104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2"/>
      <c r="U19" s="89"/>
      <c r="V19" s="99"/>
      <c r="W19" s="99"/>
      <c r="X19" s="89"/>
      <c r="Y19" s="2"/>
    </row>
    <row r="20" spans="1:25" ht="8.4" customHeight="1" thickTop="1">
      <c r="A20" s="1"/>
      <c r="B20" s="2"/>
      <c r="C20" s="104"/>
      <c r="D20" s="104"/>
      <c r="E20" s="104"/>
      <c r="F20" s="104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2"/>
      <c r="U20" s="89"/>
      <c r="V20" s="89"/>
      <c r="W20" s="89"/>
      <c r="X20" s="89"/>
      <c r="Y20" s="2"/>
    </row>
    <row r="21" spans="1:25" ht="13.2" customHeight="1">
      <c r="A21" s="1"/>
      <c r="B21" s="2"/>
      <c r="C21" s="104"/>
      <c r="D21" s="104"/>
      <c r="E21" s="104"/>
      <c r="F21" s="10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2"/>
      <c r="U21" s="89"/>
      <c r="V21" s="90" t="s">
        <v>48</v>
      </c>
      <c r="W21" s="88"/>
      <c r="X21" s="89"/>
      <c r="Y21" s="2"/>
    </row>
    <row r="22" spans="1:25" ht="12.6" customHeight="1">
      <c r="A22" s="1"/>
      <c r="B22" s="2"/>
      <c r="C22" s="104"/>
      <c r="D22" s="104"/>
      <c r="E22" s="104"/>
      <c r="F22" s="10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3"/>
      <c r="U22" s="91"/>
      <c r="V22" s="88"/>
      <c r="W22" s="88"/>
      <c r="X22" s="91"/>
      <c r="Y22" s="3"/>
    </row>
    <row r="23" spans="1:25" ht="60">
      <c r="A23" s="1"/>
      <c r="B23" s="2"/>
      <c r="C23" s="2"/>
      <c r="D23" s="2"/>
      <c r="E23" s="2"/>
      <c r="F23" s="2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3"/>
      <c r="U23" s="91"/>
      <c r="V23" s="88"/>
      <c r="W23" s="88"/>
      <c r="X23" s="91"/>
      <c r="Y23" s="3"/>
    </row>
    <row r="24" spans="1:25" ht="4.8" customHeight="1">
      <c r="A24" s="1"/>
      <c r="B24" s="2"/>
      <c r="C24" s="2"/>
      <c r="D24" s="2"/>
      <c r="E24" s="2"/>
      <c r="F24" s="2"/>
      <c r="G24" s="2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3"/>
      <c r="U24" s="3"/>
      <c r="V24" s="3"/>
      <c r="W24" s="3"/>
      <c r="X24" s="3"/>
      <c r="Y24" s="3"/>
    </row>
    <row r="25" spans="1:25" ht="33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56" t="s">
        <v>1089</v>
      </c>
      <c r="O25" s="56"/>
      <c r="P25" s="57"/>
      <c r="Q25" s="3"/>
      <c r="R25" s="3"/>
      <c r="S25" s="3"/>
      <c r="T25" s="3"/>
      <c r="U25" s="3"/>
      <c r="V25" s="3"/>
      <c r="W25" s="3"/>
      <c r="X25" s="3"/>
      <c r="Y25" s="2"/>
    </row>
    <row r="26" spans="1:25" ht="60" customHeight="1" thickBot="1">
      <c r="A26" s="1"/>
      <c r="B26" s="2"/>
      <c r="C26" s="2"/>
      <c r="D26" s="32" t="s">
        <v>1045</v>
      </c>
      <c r="E26" s="27"/>
      <c r="F26" s="27"/>
      <c r="G26" s="27"/>
      <c r="H26" s="13" t="s">
        <v>1087</v>
      </c>
      <c r="I26" s="13" t="s">
        <v>1084</v>
      </c>
      <c r="J26" s="13" t="s">
        <v>1081</v>
      </c>
      <c r="K26" s="13" t="s">
        <v>1085</v>
      </c>
      <c r="L26" s="13" t="s">
        <v>1082</v>
      </c>
      <c r="M26" s="13" t="s">
        <v>1083</v>
      </c>
      <c r="N26" s="13" t="s">
        <v>1088</v>
      </c>
      <c r="O26" s="13" t="s">
        <v>1090</v>
      </c>
      <c r="P26" s="13" t="s">
        <v>1091</v>
      </c>
      <c r="Q26" s="32" t="s">
        <v>2</v>
      </c>
      <c r="R26" s="27"/>
      <c r="S26" s="27"/>
      <c r="T26" s="13" t="s">
        <v>1080</v>
      </c>
      <c r="U26" s="2"/>
      <c r="V26" s="2"/>
      <c r="W26" s="2"/>
      <c r="X26" s="2"/>
      <c r="Y26" s="2"/>
    </row>
    <row r="27" spans="1:25" ht="48" customHeight="1" thickTop="1">
      <c r="A27" s="1"/>
      <c r="B27" s="2"/>
      <c r="C27" s="2"/>
      <c r="D27" s="33" t="s">
        <v>1075</v>
      </c>
      <c r="E27" s="106"/>
      <c r="F27" s="106"/>
      <c r="G27" s="107"/>
      <c r="H27" s="108">
        <f>COUNTIF(Table1[RESTAURANT NAME], D27)</f>
        <v>97</v>
      </c>
      <c r="I27" s="108" cm="1">
        <f t="array" ref="I27">COUNTA(_xlfn.UNIQUE(_xlfn._xlws.FILTER(Table1[CUSTOMER ID], Table1[RESTAURANT NAME] = D27)))</f>
        <v>97</v>
      </c>
      <c r="J27" s="109">
        <f>SUMIF(Table1[RESTAURANT NAME], "Burger King", Table1[ORDER FREQUENCY])</f>
        <v>2624</v>
      </c>
      <c r="K27" s="110">
        <f>SUMIF('RAW DATA'!$H$2:$H$501, D27, 'RAW DATA'!$K$2:$K$501)</f>
        <v>293</v>
      </c>
      <c r="L27" s="111">
        <v>894.16</v>
      </c>
      <c r="M27" s="112">
        <f>AVERAGEIF('RAW DATA'!$H$2:$H$501, "Burger King", 'RAW DATA'!$R$2:$R$501)</f>
        <v>3.193548387096774</v>
      </c>
      <c r="N27" s="113" cm="1">
        <f t="array" ref="N27">SUMPRODUCT(('RAW DATA'!$H$2:$H$501="Burger King")*(MONTH('RAW DATA'!$G$2:$G$501)=4))</f>
        <v>13</v>
      </c>
      <c r="O27" s="113" cm="1">
        <f t="array" ref="O27">SUMPRODUCT(('RAW DATA'!$H$2:$H$501="Burger King")*(MONTH('RAW DATA'!$G$2:$G$501)=5))</f>
        <v>43</v>
      </c>
      <c r="P27" s="113" cm="1">
        <f t="array" ref="P27">SUMPRODUCT(('RAW DATA'!$H$2:$H$501="Burger King")*(MONTH('RAW DATA'!$G$2:$G$501)=6))</f>
        <v>41</v>
      </c>
      <c r="Q27" s="114">
        <f>SUMIF('RAW DATA'!$H$2:$H$501, D27, 'RAW DATA'!$U$2:$U$501)</f>
        <v>261988.12999999986</v>
      </c>
      <c r="R27" s="115"/>
      <c r="S27" s="116"/>
      <c r="T27" s="117">
        <f>Q27/$Q$34</f>
        <v>0.21840061352345508</v>
      </c>
      <c r="U27" s="2"/>
      <c r="V27" s="2"/>
      <c r="W27" s="2"/>
      <c r="X27" s="2"/>
      <c r="Y27" s="48"/>
    </row>
    <row r="28" spans="1:25" ht="30" customHeight="1">
      <c r="A28" s="1"/>
      <c r="B28" s="2"/>
      <c r="C28" s="2"/>
      <c r="D28" s="33" t="s">
        <v>62</v>
      </c>
      <c r="E28" s="106"/>
      <c r="F28" s="106"/>
      <c r="G28" s="107"/>
      <c r="H28" s="108">
        <f>COUNTIF(Table1[RESTAURANT NAME], D28)</f>
        <v>99</v>
      </c>
      <c r="I28" s="108" cm="1">
        <f t="array" ref="I28">COUNTA(_xlfn.UNIQUE(_xlfn._xlws.FILTER(Table1[CUSTOMER ID], Table1[RESTAURANT NAME] = D28)))</f>
        <v>99</v>
      </c>
      <c r="J28" s="109">
        <f>SUMIF(Table1[RESTAURANT NAME], "KFC", Table1[ORDER FREQUENCY])</f>
        <v>2534</v>
      </c>
      <c r="K28" s="110">
        <f>SUMIF('RAW DATA'!$H$2:$H$501, D28, 'RAW DATA'!$K$2:$K$501)</f>
        <v>286</v>
      </c>
      <c r="L28" s="111">
        <v>887.6</v>
      </c>
      <c r="M28" s="112">
        <f>AVERAGEIF('RAW DATA'!$H$2:$H$501, "KFC", 'RAW DATA'!$R$2:$R$501)</f>
        <v>3.0135135135135136</v>
      </c>
      <c r="N28" s="113" cm="1">
        <f t="array" ref="N28">SUMPRODUCT(('RAW DATA'!$H$2:$H$501="KFC")*(MONTH('RAW DATA'!$G$2:$G$501)=4))</f>
        <v>13</v>
      </c>
      <c r="O28" s="113" cm="1">
        <f t="array" ref="O28">SUMPRODUCT(('RAW DATA'!$H$2:$H$501="KFC")*(MONTH('RAW DATA'!$G$2:$G$501)=5))</f>
        <v>49</v>
      </c>
      <c r="P28" s="113" cm="1">
        <f t="array" ref="P28">SUMPRODUCT(('RAW DATA'!$H$2:$H$501="KFC")*(MONTH('RAW DATA'!$G$2:$G$501)=6))</f>
        <v>37</v>
      </c>
      <c r="Q28" s="114">
        <f>SUMIF('RAW DATA'!$H$2:$H$501, D28, 'RAW DATA'!$U$2:$U$501)</f>
        <v>253854.62000000008</v>
      </c>
      <c r="R28" s="115"/>
      <c r="S28" s="116"/>
      <c r="T28" s="117">
        <f t="shared" ref="T28:T31" si="0">Q28/$Q$34</f>
        <v>0.21162029269709126</v>
      </c>
      <c r="U28" s="2"/>
      <c r="V28" s="2"/>
      <c r="W28" s="2"/>
      <c r="X28" s="2"/>
      <c r="Y28" s="2"/>
    </row>
    <row r="29" spans="1:25" ht="28.2" customHeight="1">
      <c r="A29" s="1"/>
      <c r="B29" s="2"/>
      <c r="C29" s="2"/>
      <c r="D29" s="33" t="s">
        <v>1076</v>
      </c>
      <c r="E29" s="106"/>
      <c r="F29" s="106"/>
      <c r="G29" s="107"/>
      <c r="H29" s="108">
        <f>COUNTIF(Table1[RESTAURANT NAME], D29)</f>
        <v>82</v>
      </c>
      <c r="I29" s="108" cm="1">
        <f t="array" ref="I29">COUNTA(_xlfn.UNIQUE(_xlfn._xlws.FILTER(Table1[CUSTOMER ID], Table1[RESTAURANT NAME] = D29)))</f>
        <v>82</v>
      </c>
      <c r="J29" s="109">
        <f>SUMIF(Table1[RESTAURANT NAME], D29, Table1[ORDER FREQUENCY])</f>
        <v>1974</v>
      </c>
      <c r="K29" s="110">
        <f>SUMIF('RAW DATA'!$H$2:$H$501, D29, 'RAW DATA'!$K$2:$K$501)</f>
        <v>236</v>
      </c>
      <c r="L29" s="111">
        <v>783.95</v>
      </c>
      <c r="M29" s="112">
        <f>AVERAGEIF('RAW DATA'!$H$2:$H$501, "McDonald's", 'RAW DATA'!$R$2:$R$501)</f>
        <v>3.1481481481481484</v>
      </c>
      <c r="N29" s="113" cm="1">
        <f t="array" ref="N29">SUMPRODUCT(('RAW DATA'!$H$2:$H$501="McDonald's")*(MONTH('RAW DATA'!$G$2:$G$501)=4))</f>
        <v>11</v>
      </c>
      <c r="O29" s="113" cm="1">
        <f t="array" ref="O29">SUMPRODUCT(('RAW DATA'!$H$2:$H$501="McDonald's")*(MONTH('RAW DATA'!$G$2:$G$501)=5))</f>
        <v>40</v>
      </c>
      <c r="P29" s="113" cm="1">
        <f t="array" ref="P29">SUMPRODUCT(('RAW DATA'!$H$2:$H$501="McDonald's")*(MONTH('RAW DATA'!$G$2:$G$501)=6))</f>
        <v>31</v>
      </c>
      <c r="Q29" s="114">
        <f>SUMIF('RAW DATA'!$H$2:$H$501, D29, 'RAW DATA'!$U$2:$U$501)</f>
        <v>185013.30999999994</v>
      </c>
      <c r="R29" s="115"/>
      <c r="S29" s="116"/>
      <c r="T29" s="117">
        <f t="shared" si="0"/>
        <v>0.15423225630109727</v>
      </c>
      <c r="U29" s="2"/>
      <c r="V29" s="2"/>
      <c r="W29" s="2"/>
      <c r="X29" s="2"/>
      <c r="Y29" s="2"/>
    </row>
    <row r="30" spans="1:25" ht="27.6" customHeight="1">
      <c r="A30" s="1"/>
      <c r="B30" s="2"/>
      <c r="C30" s="2"/>
      <c r="D30" s="33" t="s">
        <v>1077</v>
      </c>
      <c r="E30" s="106"/>
      <c r="F30" s="106"/>
      <c r="G30" s="107"/>
      <c r="H30" s="108">
        <f>COUNTIF(Table1[RESTAURANT NAME], D30)</f>
        <v>116</v>
      </c>
      <c r="I30" s="108" cm="1">
        <f t="array" ref="I30">COUNTA(_xlfn.UNIQUE(_xlfn._xlws.FILTER(Table1[CUSTOMER ID], Table1[RESTAURANT NAME] = D30)))</f>
        <v>116</v>
      </c>
      <c r="J30" s="109">
        <f>SUMIF(Table1[RESTAURANT NAME], D30, Table1[ORDER FREQUENCY])</f>
        <v>3044</v>
      </c>
      <c r="K30" s="110">
        <f>SUMIF('RAW DATA'!$H$2:$H$501, D30, 'RAW DATA'!$K$2:$K$501)</f>
        <v>356</v>
      </c>
      <c r="L30" s="111">
        <v>745.54</v>
      </c>
      <c r="M30" s="112">
        <f>AVERAGEIF('RAW DATA'!$H$2:$H$501, D30, 'RAW DATA'!$R$2:$R$501)</f>
        <v>3.0256410256410255</v>
      </c>
      <c r="N30" s="113" cm="1">
        <f t="array" ref="N30">SUMPRODUCT(('RAW DATA'!$H$2:$H$501="Pizza Hut")*(MONTH('RAW DATA'!$G$2:$G$501)=4))</f>
        <v>23</v>
      </c>
      <c r="O30" s="113" cm="1">
        <f t="array" ref="O30">SUMPRODUCT(('RAW DATA'!$H$2:$H$501="Pizza Hut")*(MONTH('RAW DATA'!$G$2:$G$501)=5))</f>
        <v>56</v>
      </c>
      <c r="P30" s="113" cm="1">
        <f t="array" ref="P30">SUMPRODUCT(('RAW DATA'!$H$2:$H$501="Pizza Hut")*(MONTH('RAW DATA'!$G$2:$G$501)=6))</f>
        <v>37</v>
      </c>
      <c r="Q30" s="114">
        <f>SUMIF('RAW DATA'!$H$2:$H$501, D30, 'RAW DATA'!$U$2:$U$501)</f>
        <v>265411.62</v>
      </c>
      <c r="R30" s="115"/>
      <c r="S30" s="116"/>
      <c r="T30" s="117">
        <f t="shared" si="0"/>
        <v>0.22125453028827735</v>
      </c>
      <c r="U30" s="2"/>
      <c r="V30" s="2"/>
      <c r="W30" s="2"/>
      <c r="X30" s="2"/>
      <c r="Y30" s="2"/>
    </row>
    <row r="31" spans="1:25" ht="33.6" customHeight="1">
      <c r="A31" s="1"/>
      <c r="B31" s="2"/>
      <c r="C31" s="2"/>
      <c r="D31" s="33" t="s">
        <v>1078</v>
      </c>
      <c r="E31" s="106"/>
      <c r="F31" s="106"/>
      <c r="G31" s="107"/>
      <c r="H31" s="108">
        <f>COUNTIF(Table1[RESTAURANT NAME], D31)</f>
        <v>106</v>
      </c>
      <c r="I31" s="108" cm="1">
        <f t="array" ref="I31">COUNTA(_xlfn.UNIQUE(_xlfn._xlws.FILTER(Table1[CUSTOMER ID], Table1[RESTAURANT NAME] = D31)))</f>
        <v>106</v>
      </c>
      <c r="J31" s="109">
        <f>SUMIF(Table1[RESTAURANT NAME], D31, Table1[ORDER FREQUENCY])</f>
        <v>2868</v>
      </c>
      <c r="K31" s="110">
        <f>SUMIF('RAW DATA'!$H$2:$H$501, D31, 'RAW DATA'!$K$2:$K$501)</f>
        <v>309</v>
      </c>
      <c r="L31" s="111">
        <v>755.04</v>
      </c>
      <c r="M31" s="112">
        <f>AVERAGEIF('RAW DATA'!$H$2:$H$501, D31, 'RAW DATA'!$R$2:$R$501)</f>
        <v>3.028169014084507</v>
      </c>
      <c r="N31" s="113" cm="1">
        <f t="array" ref="N31">SUMPRODUCT(('RAW DATA'!$H$2:$H$501="Subway")*(MONTH('RAW DATA'!$G$2:$G$501)=4))</f>
        <v>13</v>
      </c>
      <c r="O31" s="113" cm="1">
        <f t="array" ref="O31">SUMPRODUCT(('RAW DATA'!$H$2:$H$501="Subway")*(MONTH('RAW DATA'!$G$2:$G$501)=5))</f>
        <v>44</v>
      </c>
      <c r="P31" s="113" cm="1">
        <f t="array" ref="P31">SUMPRODUCT(('RAW DATA'!$H$2:$H$501="Subway")*(MONTH('RAW DATA'!$G$2:$G$501)=6))</f>
        <v>49</v>
      </c>
      <c r="Q31" s="114">
        <f>SUMIF('RAW DATA'!$H$2:$H$501, D31, 'RAW DATA'!$U$2:$U$501)</f>
        <v>233308.30000000008</v>
      </c>
      <c r="R31" s="115"/>
      <c r="S31" s="116"/>
      <c r="T31" s="117">
        <f t="shared" si="0"/>
        <v>0.19449230719007901</v>
      </c>
      <c r="U31" s="2"/>
      <c r="V31" s="2"/>
      <c r="W31" s="2"/>
      <c r="X31" s="2"/>
      <c r="Y31" s="11"/>
    </row>
    <row r="32" spans="1:25" ht="27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11"/>
    </row>
    <row r="33" spans="1:25" ht="43.2" thickBot="1">
      <c r="A33" s="1"/>
      <c r="B33" s="2"/>
      <c r="C33" s="2"/>
      <c r="D33" s="34" t="s">
        <v>3</v>
      </c>
      <c r="E33" s="30"/>
      <c r="F33" s="30"/>
      <c r="G33" s="30"/>
      <c r="H33" s="14" t="s">
        <v>1071</v>
      </c>
      <c r="I33" s="14" t="s">
        <v>1072</v>
      </c>
      <c r="J33" s="14" t="s">
        <v>1092</v>
      </c>
      <c r="K33" s="14" t="s">
        <v>1073</v>
      </c>
      <c r="L33" s="14" t="s">
        <v>1082</v>
      </c>
      <c r="M33" s="14" t="s">
        <v>1079</v>
      </c>
      <c r="N33" s="14" t="s">
        <v>1093</v>
      </c>
      <c r="O33" s="14" t="s">
        <v>1094</v>
      </c>
      <c r="P33" s="17" t="s">
        <v>1095</v>
      </c>
      <c r="Q33" s="119" t="s">
        <v>1074</v>
      </c>
      <c r="R33" s="120"/>
      <c r="S33" s="120"/>
      <c r="T33" s="2"/>
      <c r="U33" s="2"/>
      <c r="V33" s="2"/>
      <c r="W33" s="2"/>
      <c r="X33" s="2"/>
      <c r="Y33" s="11"/>
    </row>
    <row r="34" spans="1:25" ht="42.6" customHeight="1" thickTop="1">
      <c r="A34" s="1"/>
      <c r="B34" s="2"/>
      <c r="C34" s="2"/>
      <c r="D34" s="35"/>
      <c r="E34" s="28"/>
      <c r="F34" s="28"/>
      <c r="G34" s="28"/>
      <c r="H34" s="15">
        <f>SUM($H$27:$H$31)</f>
        <v>500</v>
      </c>
      <c r="I34" s="16">
        <f>SUM($I$27:$I$31)</f>
        <v>500</v>
      </c>
      <c r="J34" s="41">
        <f>SUM($J$27:$J$31)</f>
        <v>13044</v>
      </c>
      <c r="K34" s="16">
        <f t="shared" ref="K34" si="1">SUM(K27:K31)</f>
        <v>1480</v>
      </c>
      <c r="L34" s="43">
        <f>AVERAGE(L27:L31)</f>
        <v>813.25800000000004</v>
      </c>
      <c r="M34" s="44">
        <f>AVERAGE(M27:M31)</f>
        <v>3.0818040176967942</v>
      </c>
      <c r="N34" s="41">
        <f t="shared" ref="N34:P34" si="2">SUM(N27:N31)</f>
        <v>73</v>
      </c>
      <c r="O34" s="41">
        <f>SUM(O27:O31)</f>
        <v>232</v>
      </c>
      <c r="P34" s="118">
        <f t="shared" si="2"/>
        <v>195</v>
      </c>
      <c r="Q34" s="121">
        <f>SUM($Q$27:$S$31)</f>
        <v>1199575.98</v>
      </c>
      <c r="R34" s="122"/>
      <c r="S34" s="122"/>
      <c r="T34" s="105"/>
      <c r="U34" s="2"/>
      <c r="V34" s="2"/>
      <c r="W34" s="2"/>
      <c r="X34" s="2"/>
      <c r="Y34" s="2"/>
    </row>
    <row r="35" spans="1:25" ht="33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"/>
    </row>
    <row r="36" spans="1:25" ht="50.25" customHeight="1">
      <c r="A36" s="1"/>
      <c r="B36" s="2"/>
    </row>
    <row r="37" spans="1:25" ht="21" customHeight="1">
      <c r="A37" s="1"/>
      <c r="B37" s="2"/>
    </row>
    <row r="38" spans="1:25" ht="21" customHeight="1">
      <c r="A38" s="1"/>
      <c r="B38" s="2"/>
    </row>
    <row r="39" spans="1:25" ht="21" customHeight="1">
      <c r="A39" s="1"/>
      <c r="B39" s="2"/>
    </row>
    <row r="40" spans="1:25" ht="21" customHeight="1">
      <c r="A40" s="1"/>
      <c r="B40" s="2"/>
    </row>
    <row r="41" spans="1:25" ht="21" customHeight="1">
      <c r="A41" s="1"/>
      <c r="B41" s="2"/>
    </row>
    <row r="42" spans="1:25" ht="21" customHeight="1">
      <c r="A42" s="1"/>
      <c r="B42" s="2"/>
    </row>
    <row r="43" spans="1:25" ht="46.5" customHeight="1">
      <c r="A43" s="1"/>
      <c r="B43" s="2"/>
    </row>
    <row r="44" spans="1:25" ht="21" customHeight="1">
      <c r="A44" s="1"/>
      <c r="B44" s="2"/>
    </row>
    <row r="45" spans="1:25" ht="21" customHeight="1">
      <c r="A45" s="1"/>
      <c r="B45" s="2"/>
    </row>
  </sheetData>
  <mergeCells count="37">
    <mergeCell ref="U14:W16"/>
    <mergeCell ref="V11:W13"/>
    <mergeCell ref="V17:W19"/>
    <mergeCell ref="V21:W23"/>
    <mergeCell ref="P3:Q3"/>
    <mergeCell ref="R3:S3"/>
    <mergeCell ref="U3:W3"/>
    <mergeCell ref="H4:J6"/>
    <mergeCell ref="K4:L6"/>
    <mergeCell ref="M4:O6"/>
    <mergeCell ref="P4:Q6"/>
    <mergeCell ref="R4:S6"/>
    <mergeCell ref="U4:W9"/>
    <mergeCell ref="D31:G31"/>
    <mergeCell ref="Q31:S31"/>
    <mergeCell ref="D33:G34"/>
    <mergeCell ref="Q33:S33"/>
    <mergeCell ref="Q34:S34"/>
    <mergeCell ref="N25:P25"/>
    <mergeCell ref="D28:G28"/>
    <mergeCell ref="Q28:S28"/>
    <mergeCell ref="D29:G29"/>
    <mergeCell ref="Q29:S29"/>
    <mergeCell ref="D30:G30"/>
    <mergeCell ref="Q30:S30"/>
    <mergeCell ref="D26:G26"/>
    <mergeCell ref="Q26:S26"/>
    <mergeCell ref="D27:G27"/>
    <mergeCell ref="Q27:S27"/>
    <mergeCell ref="C7:F9"/>
    <mergeCell ref="D11:E12"/>
    <mergeCell ref="C13:F15"/>
    <mergeCell ref="D5:E6"/>
    <mergeCell ref="C3:F3"/>
    <mergeCell ref="H3:J3"/>
    <mergeCell ref="K3:L3"/>
    <mergeCell ref="M3:O3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PROJECT TASK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TUMANGAN, ASHLEY NICOLE B.</dc:creator>
  <cp:lastModifiedBy>TUMANGAN, ASHLEY NICOLE B.</cp:lastModifiedBy>
  <dcterms:created xsi:type="dcterms:W3CDTF">2026-03-16T11:19:50Z</dcterms:created>
  <dcterms:modified xsi:type="dcterms:W3CDTF">2026-03-17T00:25:46Z</dcterms:modified>
</cp:coreProperties>
</file>